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填写指南" sheetId="2" r:id="rId5"/>
    <sheet name="规则表" sheetId="3" r:id="rId6"/>
    <sheet name="配额与进度" sheetId="4" r:id="rId7"/>
    <sheet name="参考来源"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<sst xmlns="http://schemas.openxmlformats.org/spreadsheetml/2006/main" count="195" uniqueCount="195">
  <si>
    <t xml:space="preserve">  </t>
  </si>
  <si>
    <t/>
    <r>
      <rPr>
        <sz val="9.75"/>
        <color rgb="FF000000"/>
        <rFont val="Noto Sans CJK SC"/>
        <family val="2"/>
      </rPr>
      <t xml:space="preserve">　　　　　　★ 阻断级规则必须 </t>
    </r>
    <r>
      <rPr>
        <sz val="9.75"/>
        <color rgb="FF000000"/>
        <rFont val="Arial"/>
        <family val="2"/>
      </rPr>
      <t xml:space="preserve">precision &gt; 0.99 </t>
    </r>
    <r>
      <rPr>
        <sz val="9.75"/>
        <color rgb="FF000000"/>
        <rFont val="Noto Sans CJK SC"/>
        <family val="2"/>
      </rPr>
      <t>才配设为阻断，否则降级为复核。</t>
    </r>
  </si>
  <si>
    <t/>
    <r>
      <rPr>
        <sz val="9.75"/>
        <color rgb="FF000000"/>
        <rFont val="Arial"/>
        <family val="2"/>
      </rPr>
      <t xml:space="preserve">1. 50 </t>
    </r>
    <r>
      <rPr>
        <sz val="9.75"/>
        <color rgb="FF000000"/>
        <rFont val="Noto Sans CJK SC"/>
        <family val="2"/>
      </rPr>
      <t xml:space="preserve">行全部 </t>
    </r>
    <r>
      <rPr>
        <sz val="9.75"/>
        <color rgb="FF000000"/>
        <rFont val="Arial"/>
        <family val="2"/>
      </rPr>
      <t xml:space="preserve">J </t>
    </r>
    <r>
      <rPr>
        <sz val="9.75"/>
        <color rgb="FF000000"/>
        <rFont val="Noto Sans CJK SC"/>
        <family val="2"/>
      </rPr>
      <t xml:space="preserve">列 </t>
    </r>
    <r>
      <rPr>
        <sz val="9.75"/>
        <color rgb="FF000000"/>
        <rFont val="Arial"/>
        <family val="2"/>
      </rPr>
      <t xml:space="preserve">= </t>
    </r>
    <r>
      <rPr>
        <sz val="9.75"/>
        <color rgb="FF000000"/>
        <rFont val="Noto Sans CJK SC"/>
        <family val="2"/>
      </rPr>
      <t>已核，无「待核」残留</t>
    </r>
  </si>
  <si>
    <t/>
    <r>
      <rPr>
        <sz val="9.75"/>
        <color rgb="FF000000"/>
        <rFont val="Noto Sans CJK SC"/>
        <family val="2"/>
      </rPr>
      <t>字段：股东认缴出资额</t>
    </r>
    <r>
      <rPr>
        <sz val="9.75"/>
        <color rgb="FF000000"/>
        <rFont val="Arial"/>
        <family val="2"/>
      </rPr>
      <t xml:space="preserve">, </t>
    </r>
    <r>
      <rPr>
        <sz val="9.75"/>
        <color rgb="FF000000"/>
        <rFont val="Noto Sans CJK SC"/>
        <family val="2"/>
      </rPr>
      <t>注册资本</t>
    </r>
  </si>
  <si>
    <t/>
    <r>
      <rPr>
        <sz val="9.75"/>
        <color rgb="FF000000"/>
        <rFont val="Arial"/>
        <family val="2"/>
      </rPr>
      <t xml:space="preserve">G </t>
    </r>
    <r>
      <rPr>
        <sz val="9.75"/>
        <color rgb="FF000000"/>
        <rFont val="Noto Sans CJK SC"/>
        <family val="2"/>
      </rPr>
      <t xml:space="preserve">规则类型｜法定强制 </t>
    </r>
    <r>
      <rPr>
        <sz val="9.75"/>
        <color rgb="FF000000"/>
        <rFont val="Arial"/>
        <family val="2"/>
      </rPr>
      <t xml:space="preserve">/ </t>
    </r>
    <r>
      <rPr>
        <sz val="9.75"/>
        <color rgb="FF000000"/>
        <rFont val="Noto Sans CJK SC"/>
        <family val="2"/>
      </rPr>
      <t xml:space="preserve">规范性 </t>
    </r>
    <r>
      <rPr>
        <sz val="9.75"/>
        <color rgb="FF000000"/>
        <rFont val="Arial"/>
        <family val="2"/>
      </rPr>
      <t xml:space="preserve">/ </t>
    </r>
    <r>
      <rPr>
        <sz val="9.75"/>
        <color rgb="FF000000"/>
        <rFont val="Noto Sans CJK SC"/>
        <family val="2"/>
      </rPr>
      <t xml:space="preserve">统计异常 </t>
    </r>
    <r>
      <rPr>
        <sz val="9.75"/>
        <color rgb="FF000000"/>
        <rFont val="Arial"/>
        <family val="2"/>
      </rPr>
      <t xml:space="preserve">/ </t>
    </r>
    <r>
      <rPr>
        <sz val="9.75"/>
        <color rgb="FF000000"/>
        <rFont val="Noto Sans CJK SC"/>
        <family val="2"/>
      </rPr>
      <t>情报线索</t>
    </r>
  </si>
  <si>
    <t/>
    <r>
      <rPr>
        <sz val="9.75"/>
        <color rgb="FF000000"/>
        <rFont val="Noto Sans CJK SC"/>
        <family val="2"/>
      </rPr>
      <t>法条锚点：《公司法》第</t>
    </r>
    <r>
      <rPr>
        <sz val="9.75"/>
        <color rgb="FF000000"/>
        <rFont val="Arial"/>
        <family val="2"/>
      </rPr>
      <t>47</t>
    </r>
    <r>
      <rPr>
        <sz val="9.75"/>
        <color rgb="FF000000"/>
        <rFont val="Noto Sans CJK SC"/>
        <family val="2"/>
      </rPr>
      <t>条</t>
    </r>
  </si>
  <si>
    <t/>
    <r>
      <rPr>
        <sz val="9.75"/>
        <color rgb="FF000000"/>
        <rFont val="Arial"/>
        <family val="2"/>
      </rPr>
      <t xml:space="preserve">C </t>
    </r>
    <r>
      <rPr>
        <sz val="9.75"/>
        <color rgb="FF000000"/>
        <rFont val="Noto Sans CJK SC"/>
        <family val="2"/>
      </rPr>
      <t>法条锚点｜必须精确到「条」，最好到「款」。格式：《市场主体登记管理条例》第</t>
    </r>
    <r>
      <rPr>
        <sz val="9.75"/>
        <color rgb="FF000000"/>
        <rFont val="Arial"/>
        <family val="2"/>
      </rPr>
      <t>15</t>
    </r>
    <r>
      <rPr>
        <sz val="9.75"/>
        <color rgb="FF000000"/>
        <rFont val="Noto Sans CJK SC"/>
        <family val="2"/>
      </rPr>
      <t>条</t>
    </r>
  </si>
  <si>
    <t/>
    <r>
      <rPr>
        <sz val="9.75"/>
        <color rgb="FF000000"/>
        <rFont val="Arial"/>
        <family val="2"/>
      </rPr>
      <t xml:space="preserve">F </t>
    </r>
    <r>
      <rPr>
        <sz val="9.75"/>
        <color rgb="FF000000"/>
        <rFont val="Noto Sans CJK SC"/>
        <family val="2"/>
      </rPr>
      <t xml:space="preserve">风险标签｜命中后产生的标签名。这一列去重后 </t>
    </r>
    <r>
      <rPr>
        <sz val="9.75"/>
        <color rgb="FF000000"/>
        <rFont val="Arial"/>
        <family val="2"/>
      </rPr>
      <t xml:space="preserve">= </t>
    </r>
    <r>
      <rPr>
        <sz val="9.75"/>
        <color rgb="FF000000"/>
        <rFont val="Noto Sans CJK SC"/>
        <family val="2"/>
      </rPr>
      <t>标签体系初稿。</t>
    </r>
  </si>
  <si>
    <t/>
    <r>
      <rPr>
        <sz val="9.75"/>
        <color rgb="FF000000"/>
        <rFont val="Arial"/>
        <family val="2"/>
      </rPr>
      <t xml:space="preserve">3. I </t>
    </r>
    <r>
      <rPr>
        <sz val="9.75"/>
        <color rgb="FF000000"/>
        <rFont val="Noto Sans CJK SC"/>
        <family val="2"/>
      </rPr>
      <t xml:space="preserve">列 </t>
    </r>
    <r>
      <rPr>
        <sz val="9.75"/>
        <color rgb="FF000000"/>
        <rFont val="Arial"/>
        <family val="2"/>
      </rPr>
      <t xml:space="preserve">= </t>
    </r>
    <r>
      <rPr>
        <sz val="9.75"/>
        <color rgb="FF000000"/>
        <rFont val="Noto Sans CJK SC"/>
        <family val="2"/>
      </rPr>
      <t>硬阻断的行，</t>
    </r>
    <r>
      <rPr>
        <sz val="9.75"/>
        <color rgb="FF000000"/>
        <rFont val="Arial"/>
        <family val="2"/>
      </rPr>
      <t xml:space="preserve">G </t>
    </r>
    <r>
      <rPr>
        <sz val="9.75"/>
        <color rgb="FF000000"/>
        <rFont val="Noto Sans CJK SC"/>
        <family val="2"/>
      </rPr>
      <t>列必须是「法定强制」</t>
    </r>
  </si>
  <si>
    <t/>
    <r>
      <rPr>
        <sz val="9.75"/>
        <color rgb="FF000000"/>
        <rFont val="Arial"/>
        <family val="2"/>
      </rPr>
      <t xml:space="preserve">A </t>
    </r>
    <r>
      <rPr>
        <sz val="9.75"/>
        <color rgb="FF000000"/>
        <rFont val="Noto Sans CJK SC"/>
        <family val="2"/>
      </rPr>
      <t>列（规则</t>
    </r>
    <r>
      <rPr>
        <sz val="9.75"/>
        <color rgb="FF000000"/>
        <rFont val="Arial"/>
        <family val="2"/>
      </rPr>
      <t>ID</t>
    </r>
    <r>
      <rPr>
        <sz val="9.75"/>
        <color rgb="FF000000"/>
        <rFont val="Noto Sans CJK SC"/>
        <family val="2"/>
      </rPr>
      <t xml:space="preserve">）和 </t>
    </r>
    <r>
      <rPr>
        <sz val="9.75"/>
        <color rgb="FF000000"/>
        <rFont val="Arial"/>
        <family val="2"/>
      </rPr>
      <t xml:space="preserve">B </t>
    </r>
    <r>
      <rPr>
        <sz val="9.75"/>
        <color rgb="FF000000"/>
        <rFont val="Noto Sans CJK SC"/>
        <family val="2"/>
      </rPr>
      <t>列（分类）已锁定，不要改，改了「配额与进度」的统计会失效。</t>
    </r>
  </si>
  <si>
    <t/>
    <r>
      <rPr>
        <sz val="9.75"/>
        <color rgb="FF000000"/>
        <rFont val="Arial"/>
        <family val="2"/>
      </rPr>
      <t xml:space="preserve">D </t>
    </r>
    <r>
      <rPr>
        <sz val="9.75"/>
        <color rgb="FF000000"/>
        <rFont val="Noto Sans CJK SC"/>
        <family val="2"/>
      </rPr>
      <t xml:space="preserve">字段　　｜涉及的数据字段，用逗号分隔。这一列去重后 </t>
    </r>
    <r>
      <rPr>
        <sz val="9.75"/>
        <color rgb="FF000000"/>
        <rFont val="Arial"/>
        <family val="2"/>
      </rPr>
      <t xml:space="preserve">= </t>
    </r>
    <r>
      <rPr>
        <sz val="9.75"/>
        <color rgb="FF000000"/>
        <rFont val="Noto Sans CJK SC"/>
        <family val="2"/>
      </rPr>
      <t>项目的最小数据模型。</t>
    </r>
  </si>
  <si>
    <t/>
    <r>
      <rPr>
        <sz val="9.75"/>
        <color rgb="FF000000"/>
        <rFont val="Noto Sans CJK SC"/>
        <family val="2"/>
      </rPr>
      <t xml:space="preserve">　　　　　　　 会被业务评委当场戳穿。</t>
    </r>
    <r>
      <rPr>
        <sz val="9.75"/>
        <color rgb="FF000000"/>
        <rFont val="Arial"/>
        <family val="2"/>
      </rPr>
      <t xml:space="preserve">C </t>
    </r>
    <r>
      <rPr>
        <sz val="9.75"/>
        <color rgb="FF000000"/>
        <rFont val="Noto Sans CJK SC"/>
        <family val="2"/>
      </rPr>
      <t>列没有法条的行，</t>
    </r>
    <r>
      <rPr>
        <sz val="9.75"/>
        <color rgb="FF000000"/>
        <rFont val="Arial"/>
        <family val="2"/>
      </rPr>
      <t xml:space="preserve">G </t>
    </r>
    <r>
      <rPr>
        <sz val="9.75"/>
        <color rgb="FF000000"/>
        <rFont val="Noto Sans CJK SC"/>
        <family val="2"/>
      </rPr>
      <t>列绝不能填「法定强制」。</t>
    </r>
  </si>
  <si>
    <t/>
    <r>
      <rPr>
        <sz val="9.75"/>
        <color rgb="FF000000"/>
        <rFont val="Arial"/>
        <family val="2"/>
      </rPr>
      <t xml:space="preserve">2. C </t>
    </r>
    <r>
      <rPr>
        <sz val="9.75"/>
        <color rgb="FF000000"/>
        <rFont val="Noto Sans CJK SC"/>
        <family val="2"/>
      </rPr>
      <t>列无法条的行，</t>
    </r>
    <r>
      <rPr>
        <sz val="9.75"/>
        <color rgb="FF000000"/>
        <rFont val="Arial"/>
        <family val="2"/>
      </rPr>
      <t xml:space="preserve">G </t>
    </r>
    <r>
      <rPr>
        <sz val="9.75"/>
        <color rgb="FF000000"/>
        <rFont val="Noto Sans CJK SC"/>
        <family val="2"/>
      </rPr>
      <t>列必须是「统计异常」或「情报线索」</t>
    </r>
  </si>
  <si>
    <t/>
    <r>
      <rPr>
        <sz val="9.75"/>
        <color rgb="FF000000"/>
        <rFont val="Noto Sans CJK SC"/>
        <family val="2"/>
      </rPr>
      <t>判定逻辑：</t>
    </r>
    <r>
      <rPr>
        <sz val="9.75"/>
        <color rgb="FF000000"/>
        <rFont val="Arial"/>
        <family val="2"/>
      </rPr>
      <t>SUM(</t>
    </r>
    <r>
      <rPr>
        <sz val="9.75"/>
        <color rgb="FF000000"/>
        <rFont val="Noto Sans CJK SC"/>
        <family val="2"/>
      </rPr>
      <t>股东</t>
    </r>
    <r>
      <rPr>
        <sz val="9.75"/>
        <color rgb="FF000000"/>
        <rFont val="Arial"/>
        <family val="2"/>
      </rPr>
      <t>.</t>
    </r>
    <r>
      <rPr>
        <sz val="9.75"/>
        <color rgb="FF000000"/>
        <rFont val="Noto Sans CJK SC"/>
        <family val="2"/>
      </rPr>
      <t>认缴出资额</t>
    </r>
    <r>
      <rPr>
        <sz val="9.75"/>
        <color rgb="FF000000"/>
        <rFont val="Arial"/>
        <family val="2"/>
      </rPr>
      <t xml:space="preserve">) &lt;&gt; </t>
    </r>
    <r>
      <rPr>
        <sz val="9.75"/>
        <color rgb="FF000000"/>
        <rFont val="Noto Sans CJK SC"/>
        <family val="2"/>
      </rPr>
      <t>企业</t>
    </r>
    <r>
      <rPr>
        <sz val="9.75"/>
        <color rgb="FF000000"/>
        <rFont val="Arial"/>
        <family val="2"/>
      </rPr>
      <t>.</t>
    </r>
    <r>
      <rPr>
        <sz val="9.75"/>
        <color rgb="FF000000"/>
        <rFont val="Noto Sans CJK SC"/>
        <family val="2"/>
      </rPr>
      <t>注册资本</t>
    </r>
  </si>
  <si>
    <t/>
    <r>
      <rPr>
        <b/>
        <sz val="11.25"/>
        <color rgb="FF1F3864"/>
        <rFont val="Noto Sans CJK SC"/>
        <family val="2"/>
      </rPr>
      <t xml:space="preserve">■ 只填「规则表」这一张 </t>
    </r>
    <r>
      <rPr>
        <b/>
        <sz val="11.25"/>
        <color rgb="FF1F3864"/>
        <rFont val="Arial"/>
        <family val="2"/>
      </rPr>
      <t xml:space="preserve">sheet </t>
    </r>
    <r>
      <rPr>
        <b/>
        <sz val="11.25"/>
        <color rgb="FF1F3864"/>
        <rFont val="Noto Sans CJK SC"/>
        <family val="2"/>
      </rPr>
      <t xml:space="preserve">的 </t>
    </r>
    <r>
      <rPr>
        <b/>
        <sz val="11.25"/>
        <color rgb="FF1F3864"/>
        <rFont val="Arial"/>
        <family val="2"/>
      </rPr>
      <t xml:space="preserve">C~L </t>
    </r>
    <r>
      <rPr>
        <b/>
        <sz val="11.25"/>
        <color rgb="FF1F3864"/>
        <rFont val="Noto Sans CJK SC"/>
        <family val="2"/>
      </rPr>
      <t>列</t>
    </r>
  </si>
  <si>
    <t/>
    <r>
      <rPr>
        <sz val="9.75"/>
        <color rgb="FF000000"/>
        <rFont val="Noto Sans CJK SC"/>
        <family val="2"/>
      </rPr>
      <t>　　　　　　法源须来自官方原文（见「参考来源」</t>
    </r>
    <r>
      <rPr>
        <sz val="9.75"/>
        <color rgb="FF000000"/>
        <rFont val="Arial"/>
        <family val="2"/>
      </rPr>
      <t>sheet</t>
    </r>
    <r>
      <rPr>
        <sz val="9.75"/>
        <color rgb="FF000000"/>
        <rFont val="Noto Sans CJK SC"/>
        <family val="2"/>
      </rPr>
      <t>），不要用各地转发的政策解读当法源。</t>
    </r>
  </si>
  <si>
    <t/>
    <r>
      <rPr>
        <sz val="9.75"/>
        <color rgb="FF000000"/>
        <rFont val="Noto Sans CJK SC"/>
        <family val="2"/>
      </rPr>
      <t>　　　　　　★「同址聚集</t>
    </r>
    <r>
      <rPr>
        <sz val="9.75"/>
        <color rgb="FF000000"/>
        <rFont val="Arial"/>
        <family val="2"/>
      </rPr>
      <t>500</t>
    </r>
    <r>
      <rPr>
        <sz val="9.75"/>
        <color rgb="FF000000"/>
        <rFont val="Noto Sans CJK SC"/>
        <family val="2"/>
      </rPr>
      <t>家」没有直接法条，它是统计异常。硬给它安一个法条，</t>
    </r>
  </si>
  <si>
    <t/>
    <r>
      <rPr>
        <sz val="9.75"/>
        <color rgb="FF000000"/>
        <rFont val="Arial"/>
        <family val="2"/>
      </rPr>
      <t xml:space="preserve">K </t>
    </r>
    <r>
      <rPr>
        <sz val="9.75"/>
        <color rgb="FF000000"/>
        <rFont val="Noto Sans CJK SC"/>
        <family val="2"/>
      </rPr>
      <t>负责人　｜</t>
    </r>
    <r>
      <rPr>
        <sz val="9.75"/>
        <color rgb="FF000000"/>
        <rFont val="Arial"/>
        <family val="2"/>
      </rPr>
      <t xml:space="preserve">A / B / C</t>
    </r>
  </si>
  <si>
    <t/>
    <r>
      <rPr>
        <sz val="9.75"/>
        <color rgb="FF000000"/>
        <rFont val="Arial"/>
        <family val="2"/>
      </rPr>
      <t xml:space="preserve">5. E </t>
    </r>
    <r>
      <rPr>
        <sz val="9.75"/>
        <color rgb="FF000000"/>
        <rFont val="Noto Sans CJK SC"/>
        <family val="2"/>
      </rPr>
      <t>列填不出的行，</t>
    </r>
    <r>
      <rPr>
        <sz val="9.75"/>
        <color rgb="FF000000"/>
        <rFont val="Arial"/>
        <family val="2"/>
      </rPr>
      <t xml:space="preserve">L </t>
    </r>
    <r>
      <rPr>
        <sz val="9.75"/>
        <color rgb="FF000000"/>
        <rFont val="Noto Sans CJK SC"/>
        <family val="2"/>
      </rPr>
      <t xml:space="preserve">列必须写明原因 —— 这些行单独汇总成「监管堵点清单」</t>
    </r>
  </si>
  <si>
    <t/>
    <r>
      <rPr>
        <sz val="9.75"/>
        <color rgb="FF000000"/>
        <rFont val="Noto Sans CJK SC"/>
        <family val="2"/>
      </rPr>
      <t xml:space="preserve">绿色底 </t>
    </r>
    <r>
      <rPr>
        <sz val="9.75"/>
        <color rgb="FF000000"/>
        <rFont val="Arial"/>
        <family val="2"/>
      </rPr>
      <t xml:space="preserve">= </t>
    </r>
    <r>
      <rPr>
        <sz val="9.75"/>
        <color rgb="FF000000"/>
        <rFont val="Noto Sans CJK SC"/>
        <family val="2"/>
      </rPr>
      <t xml:space="preserve">法条已核实，可直接用。橙色底 </t>
    </r>
    <r>
      <rPr>
        <sz val="9.75"/>
        <color rgb="FF000000"/>
        <rFont val="Arial"/>
        <family val="2"/>
      </rPr>
      <t xml:space="preserve">= </t>
    </r>
    <r>
      <rPr>
        <sz val="9.75"/>
        <color rgb="FF000000"/>
        <rFont val="Noto Sans CJK SC"/>
        <family val="2"/>
      </rPr>
      <t>待你核实或填写。</t>
    </r>
  </si>
  <si>
    <t/>
    <r>
      <rPr>
        <sz val="9.75"/>
        <color rgb="FF000000"/>
        <rFont val="Noto Sans CJK SC"/>
        <family val="2"/>
      </rPr>
      <t xml:space="preserve">　　　　　　★ 填不出来的行，不要留空跳过 —— 在 </t>
    </r>
    <r>
      <rPr>
        <sz val="9.75"/>
        <color rgb="FF000000"/>
        <rFont val="Arial"/>
        <family val="2"/>
      </rPr>
      <t xml:space="preserve">L </t>
    </r>
    <r>
      <rPr>
        <sz val="9.75"/>
        <color rgb="FF000000"/>
        <rFont val="Noto Sans CJK SC"/>
        <family val="2"/>
      </rPr>
      <t>列写清楚为什么填不出：</t>
    </r>
  </si>
  <si>
    <t/>
    <r>
      <rPr>
        <sz val="9.75"/>
        <color rgb="FF000000"/>
        <rFont val="Arial"/>
        <family val="2"/>
      </rPr>
      <t xml:space="preserve">I </t>
    </r>
    <r>
      <rPr>
        <sz val="9.75"/>
        <color rgb="FF000000"/>
        <rFont val="Noto Sans CJK SC"/>
        <family val="2"/>
      </rPr>
      <t xml:space="preserve">处置级别｜硬阻断 </t>
    </r>
    <r>
      <rPr>
        <sz val="9.75"/>
        <color rgb="FF000000"/>
        <rFont val="Arial"/>
        <family val="2"/>
      </rPr>
      <t xml:space="preserve">/ </t>
    </r>
    <r>
      <rPr>
        <sz val="9.75"/>
        <color rgb="FF000000"/>
        <rFont val="Noto Sans CJK SC"/>
        <family val="2"/>
      </rPr>
      <t xml:space="preserve">人工复核 </t>
    </r>
    <r>
      <rPr>
        <sz val="9.75"/>
        <color rgb="FF000000"/>
        <rFont val="Arial"/>
        <family val="2"/>
      </rPr>
      <t xml:space="preserve">/ </t>
    </r>
    <r>
      <rPr>
        <sz val="9.75"/>
        <color rgb="FF000000"/>
        <rFont val="Noto Sans CJK SC"/>
        <family val="2"/>
      </rPr>
      <t>仅打标</t>
    </r>
  </si>
  <si>
    <t/>
    <r>
      <rPr>
        <sz val="9.75"/>
        <color rgb="FF000000"/>
        <rFont val="Arial"/>
        <family val="2"/>
      </rPr>
      <t xml:space="preserve">J </t>
    </r>
    <r>
      <rPr>
        <sz val="9.75"/>
        <color rgb="FF000000"/>
        <rFont val="Noto Sans CJK SC"/>
        <family val="2"/>
      </rPr>
      <t>状态　　｜已核（法条已在官方原文中确认）</t>
    </r>
    <r>
      <rPr>
        <sz val="9.75"/>
        <color rgb="FF000000"/>
        <rFont val="Arial"/>
        <family val="2"/>
      </rPr>
      <t xml:space="preserve">/ </t>
    </r>
    <r>
      <rPr>
        <sz val="9.75"/>
        <color rgb="FF000000"/>
        <rFont val="Noto Sans CJK SC"/>
        <family val="2"/>
      </rPr>
      <t>待核（规则已知，条款号未确认）</t>
    </r>
    <r>
      <rPr>
        <sz val="9.75"/>
        <color rgb="FF000000"/>
        <rFont val="Arial"/>
        <family val="2"/>
      </rPr>
      <t xml:space="preserve">/ </t>
    </r>
    <r>
      <rPr>
        <sz val="9.75"/>
        <color rgb="FF000000"/>
        <rFont val="Noto Sans CJK SC"/>
        <family val="2"/>
      </rPr>
      <t>待填（规则本身待设计）</t>
    </r>
  </si>
  <si>
    <t/>
    <r>
      <rPr>
        <sz val="9.75"/>
        <color rgb="FF000000"/>
        <rFont val="Arial"/>
        <family val="2"/>
      </rPr>
      <t xml:space="preserve">4. F </t>
    </r>
    <r>
      <rPr>
        <sz val="9.75"/>
        <color rgb="FF000000"/>
        <rFont val="Noto Sans CJK SC"/>
        <family val="2"/>
      </rPr>
      <t xml:space="preserve">列去重后 </t>
    </r>
    <r>
      <rPr>
        <sz val="9.75"/>
        <color rgb="FF000000"/>
        <rFont val="Arial"/>
        <family val="2"/>
      </rPr>
      <t xml:space="preserve">60~80 </t>
    </r>
    <r>
      <rPr>
        <sz val="9.75"/>
        <color rgb="FF000000"/>
        <rFont val="Noto Sans CJK SC"/>
        <family val="2"/>
      </rPr>
      <t>个标签（含后续从三级分析需求反推补充的）</t>
    </r>
  </si>
  <si>
    <t/>
    <r>
      <rPr>
        <sz val="9.75"/>
        <color rgb="FF000000"/>
        <rFont val="Noto Sans CJK SC"/>
        <family val="2"/>
      </rPr>
      <t xml:space="preserve">第 </t>
    </r>
    <r>
      <rPr>
        <sz val="9.75"/>
        <color rgb="FF000000"/>
        <rFont val="Arial"/>
        <family val="2"/>
      </rPr>
      <t xml:space="preserve">2 </t>
    </r>
    <r>
      <rPr>
        <sz val="9.75"/>
        <color rgb="FF000000"/>
        <rFont val="Noto Sans CJK SC"/>
        <family val="2"/>
      </rPr>
      <t>行是示例行（黄色底），格式看懂后请删除整行。</t>
    </r>
  </si>
  <si>
    <t/>
    <r>
      <rPr>
        <sz val="9.75"/>
        <color rgb="FF000000"/>
        <rFont val="Arial"/>
        <family val="2"/>
      </rPr>
      <t xml:space="preserve">E </t>
    </r>
    <r>
      <rPr>
        <sz val="9.75"/>
        <color rgb="FF000000"/>
        <rFont val="Noto Sans CJK SC"/>
        <family val="2"/>
      </rPr>
      <t>判定逻辑｜可执行表达式（</t>
    </r>
    <r>
      <rPr>
        <sz val="9.75"/>
        <color rgb="FF000000"/>
        <rFont val="Arial"/>
        <family val="2"/>
      </rPr>
      <t xml:space="preserve">SQL / Cypher </t>
    </r>
    <r>
      <rPr>
        <sz val="9.75"/>
        <color rgb="FF000000"/>
        <rFont val="Noto Sans CJK SC"/>
        <family val="2"/>
      </rPr>
      <t>风格均可）。要能直接翻译成代码。</t>
    </r>
  </si>
  <si>
    <t/>
    <r>
      <rPr>
        <sz val="9.75"/>
        <color rgb="FF000000"/>
        <rFont val="Arial"/>
        <family val="2"/>
      </rPr>
      <t xml:space="preserve">H </t>
    </r>
    <r>
      <rPr>
        <sz val="9.75"/>
        <color rgb="FF000000"/>
        <rFont val="Noto Sans CJK SC"/>
        <family val="2"/>
      </rPr>
      <t xml:space="preserve">触发时点｜事前拦截 </t>
    </r>
    <r>
      <rPr>
        <sz val="9.75"/>
        <color rgb="FF000000"/>
        <rFont val="Arial"/>
        <family val="2"/>
      </rPr>
      <t xml:space="preserve">/ </t>
    </r>
    <r>
      <rPr>
        <sz val="9.75"/>
        <color rgb="FF000000"/>
        <rFont val="Noto Sans CJK SC"/>
        <family val="2"/>
      </rPr>
      <t xml:space="preserve">事中 </t>
    </r>
    <r>
      <rPr>
        <sz val="9.75"/>
        <color rgb="FF000000"/>
        <rFont val="Arial"/>
        <family val="2"/>
      </rPr>
      <t xml:space="preserve">/ </t>
    </r>
    <r>
      <rPr>
        <sz val="9.75"/>
        <color rgb="FF000000"/>
        <rFont val="Noto Sans CJK SC"/>
        <family val="2"/>
      </rPr>
      <t>事后回溯。同一条规则在不同时点是完全不同的产品。</t>
    </r>
  </si>
  <si>
    <t/>
    <r>
      <rPr>
        <b/>
        <sz val="11.25"/>
        <color rgb="FF1F3864"/>
        <rFont val="Noto Sans CJK SC"/>
        <family val="2"/>
      </rPr>
      <t xml:space="preserve">■ 示例行（规则表第 </t>
    </r>
    <r>
      <rPr>
        <b/>
        <sz val="11.25"/>
        <color rgb="FF1F3864"/>
        <rFont val="Arial"/>
        <family val="2"/>
      </rPr>
      <t xml:space="preserve">2 </t>
    </r>
    <r>
      <rPr>
        <b/>
        <sz val="11.25"/>
        <color rgb="FF1F3864"/>
        <rFont val="Noto Sans CJK SC"/>
        <family val="2"/>
      </rPr>
      <t>行，格式参照）</t>
    </r>
  </si>
  <si>
    <t/>
    <r>
      <rPr>
        <sz val="9.75"/>
        <color rgb="FF000000"/>
        <rFont val="Noto Sans CJK SC"/>
        <family val="2"/>
      </rPr>
      <t>答案必须是：“因为《</t>
    </r>
    <r>
      <rPr>
        <sz val="9.75"/>
        <color rgb="FF000000"/>
        <rFont val="Arial"/>
        <family val="2"/>
      </rPr>
      <t>XX</t>
    </r>
    <r>
      <rPr>
        <sz val="9.75"/>
        <color rgb="FF000000"/>
        <rFont val="Noto Sans CJK SC"/>
        <family val="2"/>
      </rPr>
      <t>条例》第</t>
    </r>
    <r>
      <rPr>
        <sz val="9.75"/>
        <color rgb="FF000000"/>
        <rFont val="Arial"/>
        <family val="2"/>
      </rPr>
      <t>X</t>
    </r>
    <r>
      <rPr>
        <sz val="9.75"/>
        <color rgb="FF000000"/>
        <rFont val="Noto Sans CJK SC"/>
        <family val="2"/>
      </rPr>
      <t>条要求</t>
    </r>
    <r>
      <rPr>
        <sz val="9.75"/>
        <color rgb="FF000000"/>
        <rFont val="Arial"/>
        <family val="2"/>
      </rPr>
      <t>Y</t>
    </r>
    <r>
      <rPr>
        <sz val="9.75"/>
        <color rgb="FF000000"/>
        <rFont val="Noto Sans CJK SC"/>
        <family val="2"/>
      </rPr>
      <t>，该企业字段</t>
    </r>
    <r>
      <rPr>
        <sz val="9.75"/>
        <color rgb="FF000000"/>
        <rFont val="Arial"/>
        <family val="2"/>
      </rPr>
      <t>Z</t>
    </r>
    <r>
      <rPr>
        <sz val="9.75"/>
        <color rgb="FF000000"/>
        <rFont val="Noto Sans CJK SC"/>
        <family val="2"/>
      </rPr>
      <t>违反了，故命中标签</t>
    </r>
    <r>
      <rPr>
        <sz val="9.75"/>
        <color rgb="FF000000"/>
        <rFont val="Arial"/>
        <family val="2"/>
      </rPr>
      <t>W</t>
    </r>
    <r>
      <rPr>
        <sz val="9.75"/>
        <color rgb="FF000000"/>
        <rFont val="Noto Sans CJK SC"/>
        <family val="2"/>
      </rPr>
      <t>。”</t>
    </r>
  </si>
  <si>
    <t/>
    <r>
      <rPr>
        <sz val="9.75"/>
        <color rgb="FF000000"/>
        <rFont val="Noto Sans CJK SC"/>
        <family val="2"/>
      </rPr>
      <t xml:space="preserve">　　　　　　　 这些填不出来的格子，就是赛题目标</t>
    </r>
    <r>
      <rPr>
        <sz val="9.75"/>
        <color rgb="FF000000"/>
        <rFont val="Arial"/>
        <family val="2"/>
      </rPr>
      <t>1</t>
    </r>
    <r>
      <rPr>
        <sz val="9.75"/>
        <color rgb="FF000000"/>
        <rFont val="Noto Sans CJK SC"/>
        <family val="2"/>
      </rPr>
      <t>要的「监管堵点」。它们是结论，不是失败。</t>
    </r>
  </si>
  <si>
    <t/>
    <r>
      <rPr>
        <sz val="9.75"/>
        <color rgb="FF000000"/>
        <rFont val="Arial"/>
        <family val="2"/>
      </rPr>
      <t xml:space="preserve">L </t>
    </r>
    <r>
      <rPr>
        <sz val="9.75"/>
        <color rgb="FF000000"/>
        <rFont val="Noto Sans CJK SC"/>
        <family val="2"/>
      </rPr>
      <t>核查提示｜去哪儿找、注意什么、为什么填不出来</t>
    </r>
  </si>
  <si>
    <t/>
    <r>
      <rPr>
        <sz val="9.75"/>
        <color rgb="FF000000"/>
        <rFont val="Noto Sans CJK SC"/>
        <family val="2"/>
      </rPr>
      <t>代理人</t>
    </r>
    <r>
      <rPr>
        <sz val="9.75"/>
        <color rgb="FF000000"/>
        <rFont val="Arial"/>
        <family val="2"/>
      </rPr>
      <t xml:space="preserve">ID, </t>
    </r>
    <r>
      <rPr>
        <sz val="9.75"/>
        <color rgb="FF000000"/>
        <rFont val="Noto Sans CJK SC"/>
        <family val="2"/>
      </rPr>
      <t>联络员</t>
    </r>
    <r>
      <rPr>
        <sz val="9.75"/>
        <color rgb="FF000000"/>
        <rFont val="Arial"/>
        <family val="2"/>
      </rPr>
      <t xml:space="preserve">ID, </t>
    </r>
    <r>
      <rPr>
        <sz val="9.75"/>
        <color rgb="FF000000"/>
        <rFont val="Noto Sans CJK SC"/>
        <family val="2"/>
      </rPr>
      <t>投资关系</t>
    </r>
  </si>
  <si>
    <t/>
    <r>
      <rPr>
        <sz val="9.75"/>
        <color rgb="FF000000"/>
        <rFont val="Noto Sans CJK SC"/>
        <family val="2"/>
      </rPr>
      <t xml:space="preserve">图约束 </t>
    </r>
    <r>
      <rPr>
        <sz val="9.75"/>
        <color rgb="FF000000"/>
        <rFont val="Arial"/>
        <family val="2"/>
      </rPr>
      <t>C6</t>
    </r>
    <r>
      <rPr>
        <sz val="9.75"/>
        <color rgb="FF000000"/>
        <rFont val="Noto Sans CJK SC"/>
        <family val="2"/>
      </rPr>
      <t>。规定原文：限制登记代理人兼任登记联络员（自行出资设立的除外）</t>
    </r>
  </si>
  <si>
    <t/>
    <r>
      <rPr>
        <sz val="9.75"/>
        <color rgb="FF000000"/>
        <rFont val="Noto Sans CJK SC"/>
        <family val="2"/>
      </rPr>
      <t xml:space="preserve">同一自然人 </t>
    </r>
    <r>
      <rPr>
        <sz val="9.75"/>
        <color rgb="FF000000"/>
        <rFont val="Arial"/>
        <family val="2"/>
      </rPr>
      <t xml:space="preserve">= </t>
    </r>
    <r>
      <rPr>
        <sz val="9.75"/>
        <color rgb="FF000000"/>
        <rFont val="Noto Sans CJK SC"/>
        <family val="2"/>
      </rPr>
      <t xml:space="preserve">代理人 </t>
    </r>
    <r>
      <rPr>
        <sz val="9.75"/>
        <color rgb="FF000000"/>
        <rFont val="Arial"/>
        <family val="2"/>
      </rPr>
      <t xml:space="preserve">AND = </t>
    </r>
    <r>
      <rPr>
        <sz val="9.75"/>
        <color rgb="FF000000"/>
        <rFont val="Noto Sans CJK SC"/>
        <family val="2"/>
      </rPr>
      <t xml:space="preserve">联络员 </t>
    </r>
    <r>
      <rPr>
        <sz val="9.75"/>
        <color rgb="FF000000"/>
        <rFont val="Arial"/>
        <family val="2"/>
      </rPr>
      <t xml:space="preserve">AND NOT </t>
    </r>
    <r>
      <rPr>
        <sz val="9.75"/>
        <color rgb="FF000000"/>
        <rFont val="Noto Sans CJK SC"/>
        <family val="2"/>
      </rPr>
      <t>自行出资设立</t>
    </r>
  </si>
  <si>
    <t/>
    <r>
      <rPr>
        <sz val="9.75"/>
        <color rgb="FF000000"/>
        <rFont val="Noto Sans CJK SC"/>
        <family val="2"/>
      </rPr>
      <t>发起人认购股份缴足状态</t>
    </r>
    <r>
      <rPr>
        <sz val="9.75"/>
        <color rgb="FF000000"/>
        <rFont val="Arial"/>
        <family val="2"/>
      </rPr>
      <t xml:space="preserve">, </t>
    </r>
    <r>
      <rPr>
        <sz val="9.75"/>
        <color rgb="FF000000"/>
        <rFont val="Noto Sans CJK SC"/>
        <family val="2"/>
      </rPr>
      <t>募集行为</t>
    </r>
  </si>
  <si>
    <t/>
    <r>
      <rPr>
        <sz val="9.75"/>
        <color rgb="FF000000"/>
        <rFont val="Noto Sans CJK SC"/>
        <family val="2"/>
      </rPr>
      <t>第</t>
    </r>
    <r>
      <rPr>
        <sz val="9.75"/>
        <color rgb="FF000000"/>
        <rFont val="Arial"/>
        <family val="2"/>
      </rPr>
      <t>96</t>
    </r>
    <r>
      <rPr>
        <sz val="9.75"/>
        <color rgb="FF000000"/>
        <rFont val="Noto Sans CJK SC"/>
        <family val="2"/>
      </rPr>
      <t>条：发起人认购股份缴足前不得向他人募集股份</t>
    </r>
  </si>
  <si>
    <t/>
    <r>
      <rPr>
        <sz val="9.75"/>
        <color rgb="FF000000"/>
        <rFont val="Noto Sans CJK SC"/>
        <family val="2"/>
      </rPr>
      <t>《公司法》第</t>
    </r>
    <r>
      <rPr>
        <sz val="9.75"/>
        <color rgb="FF000000"/>
        <rFont val="Arial"/>
        <family val="2"/>
      </rPr>
      <t>96</t>
    </r>
    <r>
      <rPr>
        <sz val="9.75"/>
        <color rgb="FF000000"/>
        <rFont val="Noto Sans CJK SC"/>
        <family val="2"/>
      </rPr>
      <t>条</t>
    </r>
  </si>
  <si>
    <t/>
    <r>
      <rPr>
        <sz val="9.75"/>
        <color rgb="FF000000"/>
        <rFont val="Noto Sans CJK SC"/>
        <family val="2"/>
      </rPr>
      <t xml:space="preserve">发起人认购股份未缴足 </t>
    </r>
    <r>
      <rPr>
        <sz val="9.75"/>
        <color rgb="FF000000"/>
        <rFont val="Arial"/>
        <family val="2"/>
      </rPr>
      <t xml:space="preserve">AND EXISTS(</t>
    </r>
    <r>
      <rPr>
        <sz val="9.75"/>
        <color rgb="FF000000"/>
        <rFont val="Noto Sans CJK SC"/>
        <family val="2"/>
      </rPr>
      <t>对外募集</t>
    </r>
    <r>
      <rPr>
        <sz val="9.75"/>
        <color rgb="FF000000"/>
        <rFont val="Arial"/>
        <family val="2"/>
      </rPr>
      <t>)</t>
    </r>
  </si>
  <si>
    <t/>
    <r>
      <rPr>
        <sz val="9.75"/>
        <color rgb="FF000000"/>
        <rFont val="Noto Sans CJK SC"/>
        <family val="2"/>
      </rPr>
      <t>名称</t>
    </r>
    <r>
      <rPr>
        <sz val="9.75"/>
        <color rgb="FF000000"/>
        <rFont val="Arial"/>
        <family val="2"/>
      </rPr>
      <t xml:space="preserve">, </t>
    </r>
    <r>
      <rPr>
        <sz val="9.75"/>
        <color rgb="FF000000"/>
        <rFont val="Noto Sans CJK SC"/>
        <family val="2"/>
      </rPr>
      <t>行政区划</t>
    </r>
    <r>
      <rPr>
        <sz val="9.75"/>
        <color rgb="FF000000"/>
        <rFont val="Arial"/>
        <family val="2"/>
      </rPr>
      <t xml:space="preserve">, </t>
    </r>
    <r>
      <rPr>
        <sz val="9.75"/>
        <color rgb="FF000000"/>
        <rFont val="Noto Sans CJK SC"/>
        <family val="2"/>
      </rPr>
      <t>行业表述</t>
    </r>
  </si>
  <si>
    <t/>
    <r>
      <rPr>
        <sz val="9.75"/>
        <color rgb="FF000000"/>
        <rFont val="Noto Sans CJK SC"/>
        <family val="2"/>
      </rPr>
      <t xml:space="preserve">名称近似度 </t>
    </r>
    <r>
      <rPr>
        <sz val="9.75"/>
        <color rgb="FF000000"/>
        <rFont val="Arial"/>
        <family val="2"/>
      </rPr>
      <t xml:space="preserve">&gt; </t>
    </r>
    <r>
      <rPr>
        <sz val="9.75"/>
        <color rgb="FF000000"/>
        <rFont val="Noto Sans CJK SC"/>
        <family val="2"/>
      </rPr>
      <t>阈值（同区划同行业）</t>
    </r>
  </si>
  <si>
    <t/>
    <r>
      <rPr>
        <sz val="9.75"/>
        <color rgb="FF000000"/>
        <rFont val="Noto Sans CJK SC"/>
        <family val="2"/>
      </rPr>
      <t xml:space="preserve">图约束 </t>
    </r>
    <r>
      <rPr>
        <sz val="9.75"/>
        <color rgb="FF000000"/>
        <rFont val="Arial"/>
        <family val="2"/>
      </rPr>
      <t>C7</t>
    </r>
    <r>
      <rPr>
        <sz val="9.75"/>
        <color rgb="FF000000"/>
        <rFont val="Noto Sans CJK SC"/>
        <family val="2"/>
      </rPr>
      <t>。微观专题一</t>
    </r>
  </si>
  <si>
    <t/>
    <r>
      <rPr>
        <sz val="9.75"/>
        <color rgb="FF000000"/>
        <rFont val="Noto Sans CJK SC"/>
        <family val="2"/>
      </rPr>
      <t>《特种设备生产和充装单位许可规则》</t>
    </r>
    <r>
      <rPr>
        <sz val="9.75"/>
        <color rgb="FF000000"/>
        <rFont val="Arial"/>
        <family val="2"/>
      </rPr>
      <t xml:space="preserve">(TSG 07—2019) + 《特种设备安全法》第18条</t>
    </r>
  </si>
  <si>
    <t/>
    <r>
      <rPr>
        <sz val="9.75"/>
        <color rgb="FF000000"/>
        <rFont val="Noto Sans CJK SC"/>
        <family val="2"/>
      </rPr>
      <t>经营范围行业码</t>
    </r>
    <r>
      <rPr>
        <sz val="9.75"/>
        <color rgb="FF000000"/>
        <rFont val="Arial"/>
        <family val="2"/>
      </rPr>
      <t xml:space="preserve">, </t>
    </r>
    <r>
      <rPr>
        <sz val="9.75"/>
        <color rgb="FF000000"/>
        <rFont val="Noto Sans CJK SC"/>
        <family val="2"/>
      </rPr>
      <t>特种设备生产许可</t>
    </r>
  </si>
  <si>
    <t/>
    <r>
      <rPr>
        <sz val="9.75"/>
        <color rgb="FF000000"/>
        <rFont val="Noto Sans CJK SC"/>
        <family val="2"/>
      </rPr>
      <t xml:space="preserve">行业码 </t>
    </r>
    <r>
      <rPr>
        <sz val="9.75"/>
        <color rgb="FF000000"/>
        <rFont val="Arial"/>
        <family val="2"/>
      </rPr>
      <t xml:space="preserve">IN </t>
    </r>
    <r>
      <rPr>
        <sz val="9.75"/>
        <color rgb="FF000000"/>
        <rFont val="Noto Sans CJK SC"/>
        <family val="2"/>
      </rPr>
      <t xml:space="preserve">特种设备生产码表 </t>
    </r>
    <r>
      <rPr>
        <sz val="9.75"/>
        <color rgb="FF000000"/>
        <rFont val="Arial"/>
        <family val="2"/>
      </rPr>
      <t xml:space="preserve">AND NOT EXISTS(</t>
    </r>
    <r>
      <rPr>
        <sz val="9.75"/>
        <color rgb="FF000000"/>
        <rFont val="Noto Sans CJK SC"/>
        <family val="2"/>
      </rPr>
      <t>许可</t>
    </r>
    <r>
      <rPr>
        <sz val="9.75"/>
        <color rgb="FF000000"/>
        <rFont val="Arial"/>
        <family val="2"/>
      </rPr>
      <t>)</t>
    </r>
  </si>
  <si>
    <t/>
    <r>
      <rPr>
        <sz val="9.75"/>
        <color rgb="FF000000"/>
        <rFont val="Noto Sans CJK SC"/>
        <family val="2"/>
      </rPr>
      <t>★典型的「属地差异化参数」案例，可用于论证「统一规则中台</t>
    </r>
    <r>
      <rPr>
        <sz val="9.75"/>
        <color rgb="FF000000"/>
        <rFont val="Arial"/>
        <family val="2"/>
      </rPr>
      <t>+</t>
    </r>
    <r>
      <rPr>
        <sz val="9.75"/>
        <color rgb="FF000000"/>
        <rFont val="Noto Sans CJK SC"/>
        <family val="2"/>
      </rPr>
      <t>属地参数」的设计</t>
    </r>
  </si>
  <si>
    <t/>
    <r>
      <rPr>
        <sz val="9.75"/>
        <color rgb="FF000000"/>
        <rFont val="Noto Sans CJK SC"/>
        <family val="2"/>
      </rPr>
      <t xml:space="preserve">集群注册地址 </t>
    </r>
    <r>
      <rPr>
        <sz val="9.75"/>
        <color rgb="FF000000"/>
        <rFont val="Arial"/>
        <family val="2"/>
      </rPr>
      <t xml:space="preserve">AND </t>
    </r>
    <r>
      <rPr>
        <sz val="9.75"/>
        <color rgb="FF000000"/>
        <rFont val="Noto Sans CJK SC"/>
        <family val="2"/>
      </rPr>
      <t>未按属地要求备案</t>
    </r>
  </si>
  <si>
    <t/>
    <r>
      <rPr>
        <sz val="9.75"/>
        <color rgb="FF000000"/>
        <rFont val="Noto Sans CJK SC"/>
        <family val="2"/>
      </rPr>
      <t>地址性质</t>
    </r>
    <r>
      <rPr>
        <sz val="9.75"/>
        <color rgb="FF000000"/>
        <rFont val="Arial"/>
        <family val="2"/>
      </rPr>
      <t xml:space="preserve">, </t>
    </r>
    <r>
      <rPr>
        <sz val="9.75"/>
        <color rgb="FF000000"/>
        <rFont val="Noto Sans CJK SC"/>
        <family val="2"/>
      </rPr>
      <t>集群注册备案</t>
    </r>
  </si>
  <si>
    <t/>
    <r>
      <rPr>
        <sz val="9.75"/>
        <color rgb="FF000000"/>
        <rFont val="Noto Sans CJK SC"/>
        <family val="2"/>
      </rPr>
      <t>《公司法》第</t>
    </r>
    <r>
      <rPr>
        <sz val="9.75"/>
        <color rgb="FF000000"/>
        <rFont val="Arial"/>
        <family val="2"/>
      </rPr>
      <t>239</t>
    </r>
    <r>
      <rPr>
        <sz val="9.75"/>
        <color rgb="FF000000"/>
        <rFont val="Noto Sans CJK SC"/>
        <family val="2"/>
      </rPr>
      <t>条</t>
    </r>
  </si>
  <si>
    <t/>
    <r>
      <rPr>
        <sz val="9.75"/>
        <color rgb="FF000000"/>
        <rFont val="Noto Sans CJK SC"/>
        <family val="2"/>
      </rPr>
      <t>清算报告</t>
    </r>
    <r>
      <rPr>
        <sz val="9.75"/>
        <color rgb="FF000000"/>
        <rFont val="Arial"/>
        <family val="2"/>
      </rPr>
      <t xml:space="preserve">, </t>
    </r>
    <r>
      <rPr>
        <sz val="9.75"/>
        <color rgb="FF000000"/>
        <rFont val="Noto Sans CJK SC"/>
        <family val="2"/>
      </rPr>
      <t>注销申请</t>
    </r>
  </si>
  <si>
    <t/>
    <r>
      <rPr>
        <sz val="9.75"/>
        <color rgb="FF000000"/>
        <rFont val="Noto Sans CJK SC"/>
        <family val="2"/>
      </rPr>
      <t>第</t>
    </r>
    <r>
      <rPr>
        <sz val="9.75"/>
        <color rgb="FF000000"/>
        <rFont val="Arial"/>
        <family val="2"/>
      </rPr>
      <t>239</t>
    </r>
    <r>
      <rPr>
        <sz val="9.75"/>
        <color rgb="FF000000"/>
        <rFont val="Noto Sans CJK SC"/>
        <family val="2"/>
      </rPr>
      <t>条：清算结束后，清算组应当制作清算报告并报送公司登记机关</t>
    </r>
  </si>
  <si>
    <t/>
    <r>
      <rPr>
        <sz val="9.75"/>
        <color rgb="FF000000"/>
        <rFont val="Noto Sans CJK SC"/>
        <family val="2"/>
      </rPr>
      <t xml:space="preserve">注销申请 </t>
    </r>
    <r>
      <rPr>
        <sz val="9.75"/>
        <color rgb="FF000000"/>
        <rFont val="Arial"/>
        <family val="2"/>
      </rPr>
      <t xml:space="preserve">AND </t>
    </r>
    <r>
      <rPr>
        <sz val="9.75"/>
        <color rgb="FF000000"/>
        <rFont val="Noto Sans CJK SC"/>
        <family val="2"/>
      </rPr>
      <t xml:space="preserve">清算报告 </t>
    </r>
    <r>
      <rPr>
        <sz val="9.75"/>
        <color rgb="FF000000"/>
        <rFont val="Arial"/>
        <family val="2"/>
      </rPr>
      <t xml:space="preserve">IS NULL</t>
    </r>
  </si>
  <si>
    <t/>
    <r>
      <rPr>
        <sz val="9.75"/>
        <color rgb="FF000000"/>
        <rFont val="Noto Sans CJK SC"/>
        <family val="2"/>
      </rPr>
      <t>条例第</t>
    </r>
    <r>
      <rPr>
        <sz val="9.75"/>
        <color rgb="FF000000"/>
        <rFont val="Arial"/>
        <family val="2"/>
      </rPr>
      <t>15</t>
    </r>
    <r>
      <rPr>
        <sz val="9.75"/>
        <color rgb="FF000000"/>
        <rFont val="Noto Sans CJK SC"/>
        <family val="2"/>
      </rPr>
      <t>条：市场主体实行实名登记，申请人应当配合登记机关核验身份信息</t>
    </r>
  </si>
  <si>
    <t/>
    <r>
      <rPr>
        <sz val="9.75"/>
        <color rgb="FF000000"/>
        <rFont val="Noto Sans CJK SC"/>
        <family val="2"/>
      </rPr>
      <t>法定代表人证件类型</t>
    </r>
    <r>
      <rPr>
        <sz val="9.75"/>
        <color rgb="FF000000"/>
        <rFont val="Arial"/>
        <family val="2"/>
      </rPr>
      <t xml:space="preserve">, </t>
    </r>
    <r>
      <rPr>
        <sz val="9.75"/>
        <color rgb="FF000000"/>
        <rFont val="Noto Sans CJK SC"/>
        <family val="2"/>
      </rPr>
      <t>证件号</t>
    </r>
    <r>
      <rPr>
        <sz val="9.75"/>
        <color rgb="FF000000"/>
        <rFont val="Arial"/>
        <family val="2"/>
      </rPr>
      <t xml:space="preserve">, </t>
    </r>
    <r>
      <rPr>
        <sz val="9.75"/>
        <color rgb="FF000000"/>
        <rFont val="Noto Sans CJK SC"/>
        <family val="2"/>
      </rPr>
      <t>姓名</t>
    </r>
  </si>
  <si>
    <t/>
    <r>
      <rPr>
        <sz val="9.75"/>
        <color rgb="FF000000"/>
        <rFont val="Noto Sans CJK SC"/>
        <family val="2"/>
      </rPr>
      <t>《市场主体登记管理条例》第</t>
    </r>
    <r>
      <rPr>
        <sz val="9.75"/>
        <color rgb="FF000000"/>
        <rFont val="Arial"/>
        <family val="2"/>
      </rPr>
      <t>15</t>
    </r>
    <r>
      <rPr>
        <sz val="9.75"/>
        <color rgb="FF000000"/>
        <rFont val="Noto Sans CJK SC"/>
        <family val="2"/>
      </rPr>
      <t>条</t>
    </r>
  </si>
  <si>
    <t/>
    <r>
      <rPr>
        <sz val="9.75"/>
        <color rgb="FF000000"/>
        <rFont val="Noto Sans CJK SC"/>
        <family val="2"/>
      </rPr>
      <t xml:space="preserve">实名核验接口返回 </t>
    </r>
    <r>
      <rPr>
        <sz val="9.75"/>
        <color rgb="FF000000"/>
        <rFont val="Arial"/>
        <family val="2"/>
      </rPr>
      <t xml:space="preserve">&lt;&gt; </t>
    </r>
    <r>
      <rPr>
        <sz val="9.75"/>
        <color rgb="FF000000"/>
        <rFont val="Noto Sans CJK SC"/>
        <family val="2"/>
      </rPr>
      <t>通过</t>
    </r>
  </si>
  <si>
    <t/>
    <r>
      <rPr>
        <sz val="9.75"/>
        <color rgb="FF000000"/>
        <rFont val="Noto Sans CJK SC"/>
        <family val="2"/>
      </rPr>
      <t>股东认缴出资额</t>
    </r>
    <r>
      <rPr>
        <sz val="9.75"/>
        <color rgb="FF000000"/>
        <rFont val="Arial"/>
        <family val="2"/>
      </rPr>
      <t xml:space="preserve">, </t>
    </r>
    <r>
      <rPr>
        <sz val="9.75"/>
        <color rgb="FF000000"/>
        <rFont val="Noto Sans CJK SC"/>
        <family val="2"/>
      </rPr>
      <t>注册资本</t>
    </r>
  </si>
  <si>
    <t/>
    <r>
      <rPr>
        <sz val="9.75"/>
        <color rgb="FF000000"/>
        <rFont val="Noto Sans CJK SC"/>
        <family val="2"/>
      </rPr>
      <t xml:space="preserve">图约束 </t>
    </r>
    <r>
      <rPr>
        <sz val="9.75"/>
        <color rgb="FF000000"/>
        <rFont val="Arial"/>
        <family val="2"/>
      </rPr>
      <t>C1</t>
    </r>
    <r>
      <rPr>
        <sz val="9.75"/>
        <color rgb="FF000000"/>
        <rFont val="Noto Sans CJK SC"/>
        <family val="2"/>
      </rPr>
      <t>。第</t>
    </r>
    <r>
      <rPr>
        <sz val="9.75"/>
        <color rgb="FF000000"/>
        <rFont val="Arial"/>
        <family val="2"/>
      </rPr>
      <t>47</t>
    </r>
    <r>
      <rPr>
        <sz val="9.75"/>
        <color rgb="FF000000"/>
        <rFont val="Noto Sans CJK SC"/>
        <family val="2"/>
      </rPr>
      <t>条：注册资本为全体股东认缴的出资额</t>
    </r>
  </si>
  <si>
    <t/>
    <r>
      <rPr>
        <sz val="9.75"/>
        <color rgb="FF000000"/>
        <rFont val="Noto Sans CJK SC"/>
        <family val="2"/>
      </rPr>
      <t>《公司法》第</t>
    </r>
    <r>
      <rPr>
        <sz val="9.75"/>
        <color rgb="FF000000"/>
        <rFont val="Arial"/>
        <family val="2"/>
      </rPr>
      <t>47</t>
    </r>
    <r>
      <rPr>
        <sz val="9.75"/>
        <color rgb="FF000000"/>
        <rFont val="Noto Sans CJK SC"/>
        <family val="2"/>
      </rPr>
      <t>条</t>
    </r>
  </si>
  <si>
    <t/>
    <r>
      <rPr>
        <sz val="9.75"/>
        <color rgb="FF000000"/>
        <rFont val="Arial"/>
        <family val="2"/>
      </rPr>
      <t>SUM(</t>
    </r>
    <r>
      <rPr>
        <sz val="9.75"/>
        <color rgb="FF000000"/>
        <rFont val="Noto Sans CJK SC"/>
        <family val="2"/>
      </rPr>
      <t>股东</t>
    </r>
    <r>
      <rPr>
        <sz val="9.75"/>
        <color rgb="FF000000"/>
        <rFont val="Arial"/>
        <family val="2"/>
      </rPr>
      <t>.</t>
    </r>
    <r>
      <rPr>
        <sz val="9.75"/>
        <color rgb="FF000000"/>
        <rFont val="Noto Sans CJK SC"/>
        <family val="2"/>
      </rPr>
      <t>认缴出资额</t>
    </r>
    <r>
      <rPr>
        <sz val="9.75"/>
        <color rgb="FF000000"/>
        <rFont val="Arial"/>
        <family val="2"/>
      </rPr>
      <t xml:space="preserve">) &lt;&gt; </t>
    </r>
    <r>
      <rPr>
        <sz val="9.75"/>
        <color rgb="FF000000"/>
        <rFont val="Noto Sans CJK SC"/>
        <family val="2"/>
      </rPr>
      <t>企业</t>
    </r>
    <r>
      <rPr>
        <sz val="9.75"/>
        <color rgb="FF000000"/>
        <rFont val="Arial"/>
        <family val="2"/>
      </rPr>
      <t>.</t>
    </r>
    <r>
      <rPr>
        <sz val="9.75"/>
        <color rgb="FF000000"/>
        <rFont val="Noto Sans CJK SC"/>
        <family val="2"/>
      </rPr>
      <t>注册资本</t>
    </r>
  </si>
  <si>
    <t/>
    <r>
      <rPr>
        <sz val="9.75"/>
        <color rgb="FF000000"/>
        <rFont val="Noto Sans CJK SC"/>
        <family val="2"/>
      </rPr>
      <t>第</t>
    </r>
    <r>
      <rPr>
        <sz val="9.75"/>
        <color rgb="FF000000"/>
        <rFont val="Arial"/>
        <family val="2"/>
      </rPr>
      <t>32</t>
    </r>
    <r>
      <rPr>
        <sz val="9.75"/>
        <color rgb="FF000000"/>
        <rFont val="Noto Sans CJK SC"/>
        <family val="2"/>
      </rPr>
      <t>条：名称为公司登记事项</t>
    </r>
  </si>
  <si>
    <t/>
    <r>
      <rPr>
        <sz val="9.75"/>
        <color rgb="FF000000"/>
        <rFont val="Noto Sans CJK SC"/>
        <family val="2"/>
      </rPr>
      <t xml:space="preserve">名称 </t>
    </r>
    <r>
      <rPr>
        <sz val="9.75"/>
        <color rgb="FF000000"/>
        <rFont val="Arial"/>
        <family val="2"/>
      </rPr>
      <t xml:space="preserve">IS NULL OR </t>
    </r>
    <r>
      <rPr>
        <sz val="9.75"/>
        <color rgb="FF000000"/>
        <rFont val="Noto Sans CJK SC"/>
        <family val="2"/>
      </rPr>
      <t xml:space="preserve">名称 </t>
    </r>
    <r>
      <rPr>
        <sz val="9.75"/>
        <color rgb="FF000000"/>
        <rFont val="Arial"/>
        <family val="2"/>
      </rPr>
      <t xml:space="preserve">= ''</t>
    </r>
  </si>
  <si>
    <t/>
    <r>
      <rPr>
        <sz val="9.75"/>
        <color rgb="FF000000"/>
        <rFont val="Noto Sans CJK SC"/>
        <family val="2"/>
      </rPr>
      <t>《公司法》第</t>
    </r>
    <r>
      <rPr>
        <sz val="9.75"/>
        <color rgb="FF000000"/>
        <rFont val="Arial"/>
        <family val="2"/>
      </rPr>
      <t>32</t>
    </r>
    <r>
      <rPr>
        <sz val="9.75"/>
        <color rgb="FF000000"/>
        <rFont val="Noto Sans CJK SC"/>
        <family val="2"/>
      </rPr>
      <t>条</t>
    </r>
  </si>
  <si>
    <t/>
    <r>
      <rPr>
        <sz val="9.75"/>
        <color rgb="FF000000"/>
        <rFont val="Noto Sans CJK SC"/>
        <family val="2"/>
      </rPr>
      <t>经营范围行业码</t>
    </r>
    <r>
      <rPr>
        <sz val="9.75"/>
        <color rgb="FF000000"/>
        <rFont val="Arial"/>
        <family val="2"/>
      </rPr>
      <t xml:space="preserve">, </t>
    </r>
    <r>
      <rPr>
        <sz val="9.75"/>
        <color rgb="FF000000"/>
        <rFont val="Noto Sans CJK SC"/>
        <family val="2"/>
      </rPr>
      <t>检验检测机构核准</t>
    </r>
  </si>
  <si>
    <t/>
    <r>
      <rPr>
        <sz val="9.75"/>
        <color rgb="FF000000"/>
        <rFont val="Noto Sans CJK SC"/>
        <family val="2"/>
      </rPr>
      <t>《特种设备检验机构核准规则》</t>
    </r>
    <r>
      <rPr>
        <sz val="9.75"/>
        <color rgb="FF000000"/>
        <rFont val="Arial"/>
        <family val="2"/>
      </rPr>
      <t xml:space="preserve">(TSG Z7001-2021) / </t>
    </r>
    <r>
      <rPr>
        <sz val="9.75"/>
        <color rgb="FF000000"/>
        <rFont val="Noto Sans CJK SC"/>
        <family val="2"/>
      </rPr>
      <t>《特种设备检测机构核准规则》</t>
    </r>
    <r>
      <rPr>
        <sz val="9.75"/>
        <color rgb="FF000000"/>
        <rFont val="Arial"/>
        <family val="2"/>
      </rPr>
      <t xml:space="preserve">(TSG Z7002—2022)</t>
    </r>
  </si>
  <si>
    <t/>
    <r>
      <rPr>
        <sz val="9.75"/>
        <color rgb="FF000000"/>
        <rFont val="Noto Sans CJK SC"/>
        <family val="2"/>
      </rPr>
      <t>标准地址</t>
    </r>
    <r>
      <rPr>
        <sz val="9.75"/>
        <color rgb="FF000000"/>
        <rFont val="Arial"/>
        <family val="2"/>
      </rPr>
      <t xml:space="preserve">ID, </t>
    </r>
    <r>
      <rPr>
        <sz val="9.75"/>
        <color rgb="FF000000"/>
        <rFont val="Noto Sans CJK SC"/>
        <family val="2"/>
      </rPr>
      <t>同址主体数</t>
    </r>
  </si>
  <si>
    <t/>
    <r>
      <rPr>
        <sz val="9.75"/>
        <color rgb="FF000000"/>
        <rFont val="Noto Sans CJK SC"/>
        <family val="2"/>
      </rPr>
      <t xml:space="preserve">同址主体数 </t>
    </r>
    <r>
      <rPr>
        <sz val="9.75"/>
        <color rgb="FF000000"/>
        <rFont val="Arial"/>
        <family val="2"/>
      </rPr>
      <t xml:space="preserve">&gt; </t>
    </r>
    <r>
      <rPr>
        <sz val="9.75"/>
        <color rgb="FF000000"/>
        <rFont val="Noto Sans CJK SC"/>
        <family val="2"/>
      </rPr>
      <t xml:space="preserve">全省 </t>
    </r>
    <r>
      <rPr>
        <sz val="9.75"/>
        <color rgb="FF000000"/>
        <rFont val="Arial"/>
        <family val="2"/>
      </rPr>
      <t>P99</t>
    </r>
  </si>
  <si>
    <t/>
    <r>
      <rPr>
        <sz val="9.75"/>
        <color rgb="FF000000"/>
        <rFont val="Arial"/>
        <family val="2"/>
      </rPr>
      <t>★C</t>
    </r>
    <r>
      <rPr>
        <sz val="9.75"/>
        <color rgb="FF000000"/>
        <rFont val="Noto Sans CJK SC"/>
        <family val="2"/>
      </rPr>
      <t>列无法条，</t>
    </r>
    <r>
      <rPr>
        <sz val="9.75"/>
        <color rgb="FF000000"/>
        <rFont val="Arial"/>
        <family val="2"/>
      </rPr>
      <t>G</t>
    </r>
    <r>
      <rPr>
        <sz val="9.75"/>
        <color rgb="FF000000"/>
        <rFont val="Noto Sans CJK SC"/>
        <family val="2"/>
      </rPr>
      <t>列必须是统计异常。依赖地址标准化到门牌粒度，否则全部失效</t>
    </r>
  </si>
  <si>
    <t/>
    <r>
      <rPr>
        <sz val="9.75"/>
        <color rgb="FF000000"/>
        <rFont val="Noto Sans CJK SC"/>
        <family val="2"/>
      </rPr>
      <t xml:space="preserve">《公司法》第141条（针对上市公司） </t>
    </r>
    <r>
      <rPr>
        <sz val="9.75"/>
        <color rgb="FF000000"/>
        <rFont val="Arial"/>
        <family val="2"/>
      </rPr>
      <t xml:space="preserve">/ </t>
    </r>
    <r>
      <rPr>
        <sz val="9.75"/>
        <color rgb="FF000000"/>
        <rFont val="Noto Sans CJK SC"/>
        <family val="2"/>
      </rPr>
      <t>《受益所有人信息管理办法》第2条、第6条、第10条</t>
    </r>
  </si>
  <si>
    <t/>
    <r>
      <rPr>
        <sz val="9.75"/>
        <color rgb="FF000000"/>
        <rFont val="Arial"/>
        <family val="2"/>
      </rPr>
      <t xml:space="preserve">EXISTS </t>
    </r>
    <r>
      <rPr>
        <sz val="9.75"/>
        <color rgb="FF000000"/>
        <rFont val="Noto Sans CJK SC"/>
        <family val="2"/>
      </rPr>
      <t xml:space="preserve">有向环 </t>
    </r>
    <r>
      <rPr>
        <sz val="9.75"/>
        <color rgb="FF000000"/>
        <rFont val="Arial"/>
        <family val="2"/>
      </rPr>
      <t>(e)-[:</t>
    </r>
    <r>
      <rPr>
        <sz val="9.75"/>
        <color rgb="FF000000"/>
        <rFont val="Noto Sans CJK SC"/>
        <family val="2"/>
      </rPr>
      <t>投资</t>
    </r>
    <r>
      <rPr>
        <sz val="9.75"/>
        <color rgb="FF000000"/>
        <rFont val="Arial"/>
        <family val="2"/>
      </rPr>
      <t>*1..6]-&gt;(e)</t>
    </r>
  </si>
  <si>
    <t/>
    <r>
      <rPr>
        <sz val="9.75"/>
        <color rgb="FF000000"/>
        <rFont val="Noto Sans CJK SC"/>
        <family val="2"/>
      </rPr>
      <t xml:space="preserve">图约束 </t>
    </r>
    <r>
      <rPr>
        <sz val="9.75"/>
        <color rgb="FF000000"/>
        <rFont val="Arial"/>
        <family val="2"/>
      </rPr>
      <t>C5</t>
    </r>
    <r>
      <rPr>
        <sz val="9.75"/>
        <color rgb="FF000000"/>
        <rFont val="Noto Sans CJK SC"/>
        <family val="2"/>
      </rPr>
      <t>。★法条依据须核实；若核实不到，</t>
    </r>
    <r>
      <rPr>
        <sz val="9.75"/>
        <color rgb="FF000000"/>
        <rFont val="Arial"/>
        <family val="2"/>
      </rPr>
      <t>G</t>
    </r>
    <r>
      <rPr>
        <sz val="9.75"/>
        <color rgb="FF000000"/>
        <rFont val="Noto Sans CJK SC"/>
        <family val="2"/>
      </rPr>
      <t>列改为「统计异常」或「情报线索」</t>
    </r>
  </si>
  <si>
    <t/>
    <r>
      <rPr>
        <sz val="9.75"/>
        <color rgb="FF000000"/>
        <rFont val="Noto Sans CJK SC"/>
        <family val="2"/>
      </rPr>
      <t xml:space="preserve">规则误报率 </t>
    </r>
    <r>
      <rPr>
        <sz val="9.75"/>
        <color rgb="FF000000"/>
        <rFont val="Arial"/>
        <family val="2"/>
      </rPr>
      <t xml:space="preserve">&gt; </t>
    </r>
    <r>
      <rPr>
        <sz val="9.75"/>
        <color rgb="FF000000"/>
        <rFont val="Noto Sans CJK SC"/>
        <family val="2"/>
      </rPr>
      <t>阈值</t>
    </r>
  </si>
  <si>
    <t/>
    <r>
      <rPr>
        <sz val="9.75"/>
        <color rgb="FF000000"/>
        <rFont val="Noto Sans CJK SC"/>
        <family val="2"/>
      </rPr>
      <t xml:space="preserve">★挂载对象 </t>
    </r>
    <r>
      <rPr>
        <sz val="9.75"/>
        <color rgb="FF000000"/>
        <rFont val="Arial"/>
        <family val="2"/>
      </rPr>
      <t xml:space="preserve">= </t>
    </r>
    <r>
      <rPr>
        <sz val="9.75"/>
        <color rgb="FF000000"/>
        <rFont val="Noto Sans CJK SC"/>
        <family val="2"/>
      </rPr>
      <t xml:space="preserve">规则本身。这条驱动规则自优化闭环 —— 方案的灵魂</t>
    </r>
  </si>
  <si>
    <t/>
    <r>
      <rPr>
        <sz val="9.75"/>
        <color rgb="FF000000"/>
        <rFont val="Noto Sans CJK SC"/>
        <family val="2"/>
      </rPr>
      <t>规则</t>
    </r>
    <r>
      <rPr>
        <sz val="9.75"/>
        <color rgb="FF000000"/>
        <rFont val="Arial"/>
        <family val="2"/>
      </rPr>
      <t xml:space="preserve">ID, </t>
    </r>
    <r>
      <rPr>
        <sz val="9.75"/>
        <color rgb="FF000000"/>
        <rFont val="Noto Sans CJK SC"/>
        <family val="2"/>
      </rPr>
      <t>命中数</t>
    </r>
    <r>
      <rPr>
        <sz val="9.75"/>
        <color rgb="FF000000"/>
        <rFont val="Arial"/>
        <family val="2"/>
      </rPr>
      <t xml:space="preserve">, </t>
    </r>
    <r>
      <rPr>
        <sz val="9.75"/>
        <color rgb="FF000000"/>
        <rFont val="Noto Sans CJK SC"/>
        <family val="2"/>
      </rPr>
      <t>复核结论</t>
    </r>
  </si>
  <si>
    <t/>
    <r>
      <rPr>
        <sz val="9.75"/>
        <color rgb="FF000000"/>
        <rFont val="Noto Sans CJK SC"/>
        <family val="2"/>
      </rPr>
      <t>《市场主体登记管理条例实施细则》第</t>
    </r>
    <r>
      <rPr>
        <sz val="9.75"/>
        <color rgb="FF000000"/>
        <rFont val="Arial"/>
        <family val="2"/>
      </rPr>
      <t>16</t>
    </r>
    <r>
      <rPr>
        <sz val="9.75"/>
        <color rgb="FF000000"/>
        <rFont val="Noto Sans CJK SC"/>
        <family val="2"/>
      </rPr>
      <t>条</t>
    </r>
  </si>
  <si>
    <t/>
    <r>
      <rPr>
        <sz val="9.75"/>
        <color rgb="FF000000"/>
        <rFont val="Arial"/>
        <family val="2"/>
      </rPr>
      <t>EXISTS(</t>
    </r>
    <r>
      <rPr>
        <sz val="9.75"/>
        <color rgb="FF000000"/>
        <rFont val="Noto Sans CJK SC"/>
        <family val="2"/>
      </rPr>
      <t xml:space="preserve">股东 </t>
    </r>
    <r>
      <rPr>
        <sz val="9.75"/>
        <color rgb="FF000000"/>
        <rFont val="Arial"/>
        <family val="2"/>
      </rPr>
      <t xml:space="preserve">WHERE </t>
    </r>
    <r>
      <rPr>
        <sz val="9.75"/>
        <color rgb="FF000000"/>
        <rFont val="Noto Sans CJK SC"/>
        <family val="2"/>
      </rPr>
      <t xml:space="preserve">实名核验 </t>
    </r>
    <r>
      <rPr>
        <sz val="9.75"/>
        <color rgb="FF000000"/>
        <rFont val="Arial"/>
        <family val="2"/>
      </rPr>
      <t xml:space="preserve">&lt;&gt; </t>
    </r>
    <r>
      <rPr>
        <sz val="9.75"/>
        <color rgb="FF000000"/>
        <rFont val="Noto Sans CJK SC"/>
        <family val="2"/>
      </rPr>
      <t>通过</t>
    </r>
    <r>
      <rPr>
        <sz val="9.75"/>
        <color rgb="FF000000"/>
        <rFont val="Arial"/>
        <family val="2"/>
      </rPr>
      <t>)</t>
    </r>
  </si>
  <si>
    <t/>
    <r>
      <rPr>
        <sz val="9.75"/>
        <color rgb="FF000000"/>
        <rFont val="Noto Sans CJK SC"/>
        <family val="2"/>
      </rPr>
      <t>股东</t>
    </r>
    <r>
      <rPr>
        <sz val="9.75"/>
        <color rgb="FF000000"/>
        <rFont val="Arial"/>
        <family val="2"/>
      </rPr>
      <t>/</t>
    </r>
    <r>
      <rPr>
        <sz val="9.75"/>
        <color rgb="FF000000"/>
        <rFont val="Noto Sans CJK SC"/>
        <family val="2"/>
      </rPr>
      <t>发起人证件信息</t>
    </r>
  </si>
  <si>
    <t/>
    <r>
      <rPr>
        <sz val="9.75"/>
        <color rgb="FF000000"/>
        <rFont val="Noto Sans CJK SC"/>
        <family val="2"/>
      </rPr>
      <t>细则第</t>
    </r>
    <r>
      <rPr>
        <sz val="9.75"/>
        <color rgb="FF000000"/>
        <rFont val="Arial"/>
        <family val="2"/>
      </rPr>
      <t>16</t>
    </r>
    <r>
      <rPr>
        <sz val="9.75"/>
        <color rgb="FF000000"/>
        <rFont val="Noto Sans CJK SC"/>
        <family val="2"/>
      </rPr>
      <t>条廓清实名登记范围；须确认范围覆盖哪些角色</t>
    </r>
  </si>
  <si>
    <t/>
    <r>
      <rPr>
        <sz val="9.75"/>
        <color rgb="FF000000"/>
        <rFont val="Noto Sans CJK SC"/>
        <family val="2"/>
      </rPr>
      <t xml:space="preserve">缴付期限 </t>
    </r>
    <r>
      <rPr>
        <sz val="9.75"/>
        <color rgb="FF000000"/>
        <rFont val="Arial"/>
        <family val="2"/>
      </rPr>
      <t xml:space="preserve">&gt; </t>
    </r>
    <r>
      <rPr>
        <sz val="9.75"/>
        <color rgb="FF000000"/>
        <rFont val="Noto Sans CJK SC"/>
        <family val="2"/>
      </rPr>
      <t xml:space="preserve">成立日期 </t>
    </r>
    <r>
      <rPr>
        <sz val="9.75"/>
        <color rgb="FF000000"/>
        <rFont val="Arial"/>
        <family val="2"/>
      </rPr>
      <t xml:space="preserve">+ 5</t>
    </r>
    <r>
      <rPr>
        <sz val="9.75"/>
        <color rgb="FF000000"/>
        <rFont val="Noto Sans CJK SC"/>
        <family val="2"/>
      </rPr>
      <t>年</t>
    </r>
  </si>
  <si>
    <t/>
    <r>
      <rPr>
        <sz val="9.75"/>
        <color rgb="FF000000"/>
        <rFont val="Noto Sans CJK SC"/>
        <family val="2"/>
      </rPr>
      <t>出资缴付期限</t>
    </r>
    <r>
      <rPr>
        <sz val="9.75"/>
        <color rgb="FF000000"/>
        <rFont val="Arial"/>
        <family val="2"/>
      </rPr>
      <t xml:space="preserve">, </t>
    </r>
    <r>
      <rPr>
        <sz val="9.75"/>
        <color rgb="FF000000"/>
        <rFont val="Noto Sans CJK SC"/>
        <family val="2"/>
      </rPr>
      <t>成立日期</t>
    </r>
  </si>
  <si>
    <t/>
    <r>
      <rPr>
        <sz val="9.75"/>
        <color rgb="FF000000"/>
        <rFont val="Noto Sans CJK SC"/>
        <family val="2"/>
      </rPr>
      <t>第</t>
    </r>
    <r>
      <rPr>
        <sz val="9.75"/>
        <color rgb="FF000000"/>
        <rFont val="Arial"/>
        <family val="2"/>
      </rPr>
      <t>47</t>
    </r>
    <r>
      <rPr>
        <sz val="9.75"/>
        <color rgb="FF000000"/>
        <rFont val="Noto Sans CJK SC"/>
        <family val="2"/>
      </rPr>
      <t>条：自公司成立之日起五年内缴足。注意「法律行政法规另有规定的从其规定」的例外</t>
    </r>
  </si>
  <si>
    <t/>
    <r>
      <rPr>
        <sz val="9.75"/>
        <color rgb="FF000000"/>
        <rFont val="Noto Sans CJK SC"/>
        <family val="2"/>
      </rPr>
      <t>★最佳</t>
    </r>
    <r>
      <rPr>
        <sz val="9.75"/>
        <color rgb="FF000000"/>
        <rFont val="Arial"/>
        <family val="2"/>
      </rPr>
      <t>Demo</t>
    </r>
    <r>
      <rPr>
        <sz val="9.75"/>
        <color rgb="FF000000"/>
        <rFont val="Noto Sans CJK SC"/>
        <family val="2"/>
      </rPr>
      <t>素材。词表含：虚拟货币</t>
    </r>
    <r>
      <rPr>
        <sz val="9.75"/>
        <color rgb="FF000000"/>
        <rFont val="Arial"/>
        <family val="2"/>
      </rPr>
      <t>/</t>
    </r>
    <r>
      <rPr>
        <sz val="9.75"/>
        <color rgb="FF000000"/>
        <rFont val="Noto Sans CJK SC"/>
        <family val="2"/>
      </rPr>
      <t>虚拟资产</t>
    </r>
    <r>
      <rPr>
        <sz val="9.75"/>
        <color rgb="FF000000"/>
        <rFont val="Arial"/>
        <family val="2"/>
      </rPr>
      <t>/</t>
    </r>
    <r>
      <rPr>
        <sz val="9.75"/>
        <color rgb="FF000000"/>
        <rFont val="Noto Sans CJK SC"/>
        <family val="2"/>
      </rPr>
      <t>加密货币</t>
    </r>
    <r>
      <rPr>
        <sz val="9.75"/>
        <color rgb="FF000000"/>
        <rFont val="Arial"/>
        <family val="2"/>
      </rPr>
      <t>/</t>
    </r>
    <r>
      <rPr>
        <sz val="9.75"/>
        <color rgb="FF000000"/>
        <rFont val="Noto Sans CJK SC"/>
        <family val="2"/>
      </rPr>
      <t>加密资产</t>
    </r>
    <r>
      <rPr>
        <sz val="9.75"/>
        <color rgb="FF000000"/>
        <rFont val="Arial"/>
        <family val="2"/>
      </rPr>
      <t>/</t>
    </r>
    <r>
      <rPr>
        <sz val="9.75"/>
        <color rgb="FF000000"/>
        <rFont val="Noto Sans CJK SC"/>
        <family val="2"/>
      </rPr>
      <t>稳定币</t>
    </r>
    <r>
      <rPr>
        <sz val="9.75"/>
        <color rgb="FF000000"/>
        <rFont val="Arial"/>
        <family val="2"/>
      </rPr>
      <t>/</t>
    </r>
    <r>
      <rPr>
        <sz val="9.75"/>
        <color rgb="FF000000"/>
        <rFont val="Noto Sans CJK SC"/>
        <family val="2"/>
      </rPr>
      <t>现实世界资产代币化。须核实原文出处与完整词表</t>
    </r>
  </si>
  <si>
    <t/>
    <r>
      <rPr>
        <sz val="9.75"/>
        <color rgb="FF000000"/>
        <rFont val="Noto Sans CJK SC"/>
        <family val="2"/>
      </rPr>
      <t>名称</t>
    </r>
    <r>
      <rPr>
        <sz val="9.75"/>
        <color rgb="FF000000"/>
        <rFont val="Arial"/>
        <family val="2"/>
      </rPr>
      <t xml:space="preserve">, </t>
    </r>
    <r>
      <rPr>
        <sz val="9.75"/>
        <color rgb="FF000000"/>
        <rFont val="Noto Sans CJK SC"/>
        <family val="2"/>
      </rPr>
      <t>经营范围</t>
    </r>
  </si>
  <si>
    <t/>
    <r>
      <rPr>
        <sz val="9.75"/>
        <color rgb="FF000000"/>
        <rFont val="Noto Sans CJK SC"/>
        <family val="2"/>
      </rPr>
      <t>《经营主体登记文书规范</t>
    </r>
    <r>
      <rPr>
        <sz val="9.75"/>
        <color rgb="FF000000"/>
        <rFont val="Arial"/>
        <family val="2"/>
      </rPr>
      <t>(2026</t>
    </r>
    <r>
      <rPr>
        <sz val="9.75"/>
        <color rgb="FF000000"/>
        <rFont val="Noto Sans CJK SC"/>
        <family val="2"/>
      </rPr>
      <t>年版</t>
    </r>
    <r>
      <rPr>
        <sz val="9.75"/>
        <color rgb="FF000000"/>
        <rFont val="Arial"/>
        <family val="2"/>
      </rPr>
      <t>)</t>
    </r>
    <r>
      <rPr>
        <sz val="9.75"/>
        <color rgb="FF000000"/>
        <rFont val="Noto Sans CJK SC"/>
        <family val="2"/>
      </rPr>
      <t>》相关新规</t>
    </r>
  </si>
  <si>
    <t/>
    <r>
      <rPr>
        <sz val="9.75"/>
        <color rgb="FF000000"/>
        <rFont val="Noto Sans CJK SC"/>
        <family val="2"/>
      </rPr>
      <t>经营范围条目</t>
    </r>
    <r>
      <rPr>
        <sz val="9.75"/>
        <color rgb="FF000000"/>
        <rFont val="Arial"/>
        <family val="2"/>
      </rPr>
      <t xml:space="preserve">, </t>
    </r>
    <r>
      <rPr>
        <sz val="9.75"/>
        <color rgb="FF000000"/>
        <rFont val="Noto Sans CJK SC"/>
        <family val="2"/>
      </rPr>
      <t>许可证节点</t>
    </r>
  </si>
  <si>
    <t/>
    <r>
      <rPr>
        <sz val="9.75"/>
        <color rgb="FF000000"/>
        <rFont val="Noto Sans CJK SC"/>
        <family val="2"/>
      </rPr>
      <t>《市场主体登记管理条例》第</t>
    </r>
    <r>
      <rPr>
        <sz val="9.75"/>
        <color rgb="FF000000"/>
        <rFont val="Arial"/>
        <family val="2"/>
      </rPr>
      <t>14</t>
    </r>
    <r>
      <rPr>
        <sz val="9.75"/>
        <color rgb="FF000000"/>
        <rFont val="Noto Sans CJK SC"/>
        <family val="2"/>
      </rPr>
      <t>条</t>
    </r>
  </si>
  <si>
    <t/>
    <r>
      <rPr>
        <sz val="9.75"/>
        <color rgb="FF000000"/>
        <rFont val="Noto Sans CJK SC"/>
        <family val="2"/>
      </rPr>
      <t xml:space="preserve">含许可项 </t>
    </r>
    <r>
      <rPr>
        <sz val="9.75"/>
        <color rgb="FF000000"/>
        <rFont val="Arial"/>
        <family val="2"/>
      </rPr>
      <t xml:space="preserve">AND NOT EXISTS(</t>
    </r>
    <r>
      <rPr>
        <sz val="9.75"/>
        <color rgb="FF000000"/>
        <rFont val="Noto Sans CJK SC"/>
        <family val="2"/>
      </rPr>
      <t>有效许可证</t>
    </r>
    <r>
      <rPr>
        <sz val="9.75"/>
        <color rgb="FF000000"/>
        <rFont val="Arial"/>
        <family val="2"/>
      </rPr>
      <t>)</t>
    </r>
  </si>
  <si>
    <t/>
    <r>
      <rPr>
        <sz val="9.75"/>
        <color rgb="FF000000"/>
        <rFont val="Noto Sans CJK SC"/>
        <family val="2"/>
      </rPr>
      <t xml:space="preserve">图约束 </t>
    </r>
    <r>
      <rPr>
        <sz val="9.75"/>
        <color rgb="FF000000"/>
        <rFont val="Arial"/>
        <family val="2"/>
      </rPr>
      <t>C3</t>
    </r>
  </si>
  <si>
    <t/>
    <r>
      <rPr>
        <sz val="9.75"/>
        <color rgb="FF000000"/>
        <rFont val="Arial"/>
        <family val="2"/>
      </rPr>
      <t>30</t>
    </r>
    <r>
      <rPr>
        <sz val="9.75"/>
        <color rgb="FF000000"/>
        <rFont val="Noto Sans CJK SC"/>
        <family val="2"/>
      </rPr>
      <t xml:space="preserve">日新增 </t>
    </r>
    <r>
      <rPr>
        <sz val="9.75"/>
        <color rgb="FF000000"/>
        <rFont val="Arial"/>
        <family val="2"/>
      </rPr>
      <t xml:space="preserve">&gt; </t>
    </r>
    <r>
      <rPr>
        <sz val="9.75"/>
        <color rgb="FF000000"/>
        <rFont val="Noto Sans CJK SC"/>
        <family val="2"/>
      </rPr>
      <t>阈值</t>
    </r>
  </si>
  <si>
    <t/>
    <r>
      <rPr>
        <sz val="9.75"/>
        <color rgb="FF000000"/>
        <rFont val="Noto Sans CJK SC"/>
        <family val="2"/>
      </rPr>
      <t>标准地址</t>
    </r>
    <r>
      <rPr>
        <sz val="9.75"/>
        <color rgb="FF000000"/>
        <rFont val="Arial"/>
        <family val="2"/>
      </rPr>
      <t xml:space="preserve">ID, 30</t>
    </r>
    <r>
      <rPr>
        <sz val="9.75"/>
        <color rgb="FF000000"/>
        <rFont val="Noto Sans CJK SC"/>
        <family val="2"/>
      </rPr>
      <t>日新增主体数</t>
    </r>
  </si>
  <si>
    <t/>
    <r>
      <rPr>
        <sz val="9.75"/>
        <color rgb="FF000000"/>
        <rFont val="Noto Sans CJK SC"/>
        <family val="2"/>
      </rPr>
      <t>变更事件类型</t>
    </r>
    <r>
      <rPr>
        <sz val="9.75"/>
        <color rgb="FF000000"/>
        <rFont val="Arial"/>
        <family val="2"/>
      </rPr>
      <t xml:space="preserve">, </t>
    </r>
    <r>
      <rPr>
        <sz val="9.75"/>
        <color rgb="FF000000"/>
        <rFont val="Noto Sans CJK SC"/>
        <family val="2"/>
      </rPr>
      <t>事件日期序列</t>
    </r>
  </si>
  <si>
    <t/>
    <r>
      <rPr>
        <sz val="9.75"/>
        <color rgb="FF000000"/>
        <rFont val="Noto Sans CJK SC"/>
        <family val="2"/>
      </rPr>
      <t>各质量维度字段</t>
    </r>
    <r>
      <rPr>
        <sz val="9.75"/>
        <color rgb="FF000000"/>
        <rFont val="Arial"/>
        <family val="2"/>
      </rPr>
      <t xml:space="preserve">, </t>
    </r>
    <r>
      <rPr>
        <sz val="9.75"/>
        <color rgb="FF000000"/>
        <rFont val="Noto Sans CJK SC"/>
        <family val="2"/>
      </rPr>
      <t>登记机关</t>
    </r>
    <r>
      <rPr>
        <sz val="9.75"/>
        <color rgb="FF000000"/>
        <rFont val="Arial"/>
        <family val="2"/>
      </rPr>
      <t>ID</t>
    </r>
  </si>
  <si>
    <t/>
    <r>
      <rPr>
        <b/>
        <sz val="9.75"/>
        <color rgb="FFFFFFFF"/>
        <rFont val="Noto Sans CJK SC"/>
        <family val="2"/>
      </rPr>
      <t>规则</t>
    </r>
    <r>
      <rPr>
        <b/>
        <sz val="9.75"/>
        <color rgb="FFFFFFFF"/>
        <rFont val="Arial"/>
        <family val="2"/>
      </rPr>
      <t>ID</t>
    </r>
  </si>
  <si>
    <t/>
    <r>
      <rPr>
        <b/>
        <sz val="9.75"/>
        <color rgb="FFFFFFFF"/>
        <rFont val="Noto Sans CJK SC"/>
        <family val="2"/>
      </rPr>
      <t xml:space="preserve">核查提示 </t>
    </r>
    <r>
      <rPr>
        <b/>
        <sz val="9.75"/>
        <color rgb="FFFFFFFF"/>
        <rFont val="Arial"/>
        <family val="2"/>
      </rPr>
      <t xml:space="preserve">/ </t>
    </r>
    <r>
      <rPr>
        <b/>
        <sz val="9.75"/>
        <color rgb="FFFFFFFF"/>
        <rFont val="Noto Sans CJK SC"/>
        <family val="2"/>
      </rPr>
      <t>备注</t>
    </r>
  </si>
  <si>
    <t/>
    <r>
      <rPr>
        <sz val="9.75"/>
        <color rgb="FF000000"/>
        <rFont val="Noto Sans CJK SC"/>
        <family val="2"/>
      </rPr>
      <t xml:space="preserve">跨省份数 </t>
    </r>
    <r>
      <rPr>
        <sz val="9.75"/>
        <color rgb="FF000000"/>
        <rFont val="Arial"/>
        <family val="2"/>
      </rPr>
      <t xml:space="preserve">&gt;= 3 AND </t>
    </r>
    <r>
      <rPr>
        <sz val="9.75"/>
        <color rgb="FF000000"/>
        <rFont val="Noto Sans CJK SC"/>
        <family val="2"/>
      </rPr>
      <t xml:space="preserve">任职企业数 </t>
    </r>
    <r>
      <rPr>
        <sz val="9.75"/>
        <color rgb="FF000000"/>
        <rFont val="Arial"/>
        <family val="2"/>
      </rPr>
      <t xml:space="preserve">&gt;= N</t>
    </r>
  </si>
  <si>
    <t/>
    <r>
      <rPr>
        <sz val="9.75"/>
        <color rgb="FF000000"/>
        <rFont val="Arial"/>
        <family val="2"/>
      </rPr>
      <t xml:space="preserve">N </t>
    </r>
    <r>
      <rPr>
        <sz val="9.75"/>
        <color rgb="FF000000"/>
        <rFont val="Noto Sans CJK SC"/>
        <family val="2"/>
      </rPr>
      <t>与省份数阈值须由分位数确定</t>
    </r>
  </si>
  <si>
    <t/>
    <r>
      <rPr>
        <sz val="9.75"/>
        <color rgb="FF000000"/>
        <rFont val="Noto Sans CJK SC"/>
        <family val="2"/>
      </rPr>
      <t>自然人</t>
    </r>
    <r>
      <rPr>
        <sz val="9.75"/>
        <color rgb="FF000000"/>
        <rFont val="Arial"/>
        <family val="2"/>
      </rPr>
      <t xml:space="preserve">ID, </t>
    </r>
    <r>
      <rPr>
        <sz val="9.75"/>
        <color rgb="FF000000"/>
        <rFont val="Noto Sans CJK SC"/>
        <family val="2"/>
      </rPr>
      <t>任职企业数</t>
    </r>
    <r>
      <rPr>
        <sz val="9.75"/>
        <color rgb="FF000000"/>
        <rFont val="Arial"/>
        <family val="2"/>
      </rPr>
      <t xml:space="preserve">, </t>
    </r>
    <r>
      <rPr>
        <sz val="9.75"/>
        <color rgb="FF000000"/>
        <rFont val="Noto Sans CJK SC"/>
        <family val="2"/>
      </rPr>
      <t>省份分布</t>
    </r>
  </si>
  <si>
    <t/>
    <r>
      <rPr>
        <sz val="9.75"/>
        <color rgb="FF000000"/>
        <rFont val="Noto Sans CJK SC"/>
        <family val="2"/>
      </rPr>
      <t>出资方式</t>
    </r>
    <r>
      <rPr>
        <sz val="9.75"/>
        <color rgb="FF000000"/>
        <rFont val="Arial"/>
        <family val="2"/>
      </rPr>
      <t xml:space="preserve">, </t>
    </r>
    <r>
      <rPr>
        <sz val="9.75"/>
        <color rgb="FF000000"/>
        <rFont val="Noto Sans CJK SC"/>
        <family val="2"/>
      </rPr>
      <t>非货币出资评估</t>
    </r>
  </si>
  <si>
    <t/>
    <r>
      <rPr>
        <sz val="9.75"/>
        <color rgb="FF000000"/>
        <rFont val="Noto Sans CJK SC"/>
        <family val="2"/>
      </rPr>
      <t xml:space="preserve">★命中后自动生成「目录缺口建议」→ 这是方案第一创新点的落点。第</t>
    </r>
    <r>
      <rPr>
        <sz val="9.75"/>
        <color rgb="FF000000"/>
        <rFont val="Arial"/>
        <family val="2"/>
      </rPr>
      <t>14</t>
    </r>
    <r>
      <rPr>
        <sz val="9.75"/>
        <color rgb="FF000000"/>
        <rFont val="Noto Sans CJK SC"/>
        <family val="2"/>
      </rPr>
      <t>条：应当按照登记机关公布的经营项目分类标准办理</t>
    </r>
  </si>
  <si>
    <t/>
    <r>
      <rPr>
        <sz val="9.75"/>
        <color rgb="FF000000"/>
        <rFont val="Noto Sans CJK SC"/>
        <family val="2"/>
      </rPr>
      <t>《市场主体登记管理条例》第</t>
    </r>
    <r>
      <rPr>
        <sz val="9.75"/>
        <color rgb="FF000000"/>
        <rFont val="Arial"/>
        <family val="2"/>
      </rPr>
      <t>14</t>
    </r>
    <r>
      <rPr>
        <sz val="9.75"/>
        <color rgb="FF000000"/>
        <rFont val="Noto Sans CJK SC"/>
        <family val="2"/>
      </rPr>
      <t xml:space="preserve">条 </t>
    </r>
    <r>
      <rPr>
        <sz val="9.75"/>
        <color rgb="FF000000"/>
        <rFont val="Arial"/>
        <family val="2"/>
      </rPr>
      <t xml:space="preserve">+ </t>
    </r>
    <r>
      <rPr>
        <sz val="9.75"/>
        <color rgb="FF000000"/>
        <rFont val="Noto Sans CJK SC"/>
        <family val="2"/>
      </rPr>
      <t>《经营范围规范表述目录</t>
    </r>
    <r>
      <rPr>
        <sz val="9.75"/>
        <color rgb="FF000000"/>
        <rFont val="Arial"/>
        <family val="2"/>
      </rPr>
      <t>(</t>
    </r>
    <r>
      <rPr>
        <sz val="9.75"/>
        <color rgb="FF000000"/>
        <rFont val="Noto Sans CJK SC"/>
        <family val="2"/>
      </rPr>
      <t>试行</t>
    </r>
    <r>
      <rPr>
        <sz val="9.75"/>
        <color rgb="FF000000"/>
        <rFont val="Arial"/>
        <family val="2"/>
      </rPr>
      <t>)</t>
    </r>
    <r>
      <rPr>
        <sz val="9.75"/>
        <color rgb="FF000000"/>
        <rFont val="Noto Sans CJK SC"/>
        <family val="2"/>
      </rPr>
      <t>》</t>
    </r>
  </si>
  <si>
    <t/>
    <r>
      <rPr>
        <sz val="9.75"/>
        <color rgb="FF000000"/>
        <rFont val="Noto Sans CJK SC"/>
        <family val="2"/>
      </rPr>
      <t xml:space="preserve">条目 </t>
    </r>
    <r>
      <rPr>
        <sz val="9.75"/>
        <color rgb="FF000000"/>
        <rFont val="Arial"/>
        <family val="2"/>
      </rPr>
      <t xml:space="preserve">NOT IN </t>
    </r>
    <r>
      <rPr>
        <sz val="9.75"/>
        <color rgb="FF000000"/>
        <rFont val="Noto Sans CJK SC"/>
        <family val="2"/>
      </rPr>
      <t>规范表述目录</t>
    </r>
  </si>
  <si>
    <t/>
    <r>
      <rPr>
        <sz val="9.75"/>
        <color rgb="FF000000"/>
        <rFont val="Noto Sans CJK SC"/>
        <family val="2"/>
      </rPr>
      <t>第</t>
    </r>
    <r>
      <rPr>
        <sz val="9.75"/>
        <color rgb="FF000000"/>
        <rFont val="Arial"/>
        <family val="2"/>
      </rPr>
      <t>9</t>
    </r>
    <r>
      <rPr>
        <sz val="9.75"/>
        <color rgb="FF000000"/>
        <rFont val="Noto Sans CJK SC"/>
        <family val="2"/>
      </rPr>
      <t>条完整列举备案事项</t>
    </r>
  </si>
  <si>
    <t/>
    <r>
      <rPr>
        <sz val="9.75"/>
        <color rgb="FF000000"/>
        <rFont val="Noto Sans CJK SC"/>
        <family val="2"/>
      </rPr>
      <t>章程</t>
    </r>
    <r>
      <rPr>
        <sz val="9.75"/>
        <color rgb="FF000000"/>
        <rFont val="Arial"/>
        <family val="2"/>
      </rPr>
      <t xml:space="preserve">, </t>
    </r>
    <r>
      <rPr>
        <sz val="9.75"/>
        <color rgb="FF000000"/>
        <rFont val="Noto Sans CJK SC"/>
        <family val="2"/>
      </rPr>
      <t>经营期限</t>
    </r>
    <r>
      <rPr>
        <sz val="9.75"/>
        <color rgb="FF000000"/>
        <rFont val="Arial"/>
        <family val="2"/>
      </rPr>
      <t xml:space="preserve">, </t>
    </r>
    <r>
      <rPr>
        <sz val="9.75"/>
        <color rgb="FF000000"/>
        <rFont val="Noto Sans CJK SC"/>
        <family val="2"/>
      </rPr>
      <t>出资信息</t>
    </r>
    <r>
      <rPr>
        <sz val="9.75"/>
        <color rgb="FF000000"/>
        <rFont val="Arial"/>
        <family val="2"/>
      </rPr>
      <t xml:space="preserve">, </t>
    </r>
    <r>
      <rPr>
        <sz val="9.75"/>
        <color rgb="FF000000"/>
        <rFont val="Noto Sans CJK SC"/>
        <family val="2"/>
      </rPr>
      <t>董监高</t>
    </r>
    <r>
      <rPr>
        <sz val="9.75"/>
        <color rgb="FF000000"/>
        <rFont val="Arial"/>
        <family val="2"/>
      </rPr>
      <t xml:space="preserve">, </t>
    </r>
    <r>
      <rPr>
        <sz val="9.75"/>
        <color rgb="FF000000"/>
        <rFont val="Noto Sans CJK SC"/>
        <family val="2"/>
      </rPr>
      <t>登记联络员</t>
    </r>
    <r>
      <rPr>
        <sz val="9.75"/>
        <color rgb="FF000000"/>
        <rFont val="Arial"/>
        <family val="2"/>
      </rPr>
      <t xml:space="preserve">, </t>
    </r>
    <r>
      <rPr>
        <sz val="9.75"/>
        <color rgb="FF000000"/>
        <rFont val="Noto Sans CJK SC"/>
        <family val="2"/>
      </rPr>
      <t>受益所有人</t>
    </r>
  </si>
  <si>
    <t/>
    <r>
      <rPr>
        <sz val="9.75"/>
        <color rgb="FF000000"/>
        <rFont val="Noto Sans CJK SC"/>
        <family val="2"/>
      </rPr>
      <t>《市场主体登记管理条例》第</t>
    </r>
    <r>
      <rPr>
        <sz val="9.75"/>
        <color rgb="FF000000"/>
        <rFont val="Arial"/>
        <family val="2"/>
      </rPr>
      <t>9</t>
    </r>
    <r>
      <rPr>
        <sz val="9.75"/>
        <color rgb="FF000000"/>
        <rFont val="Noto Sans CJK SC"/>
        <family val="2"/>
      </rPr>
      <t>条</t>
    </r>
  </si>
  <si>
    <t/>
    <r>
      <rPr>
        <sz val="9.75"/>
        <color rgb="FF000000"/>
        <rFont val="Noto Sans CJK SC"/>
        <family val="2"/>
      </rPr>
      <t xml:space="preserve">单笔退回次数 </t>
    </r>
    <r>
      <rPr>
        <sz val="9.75"/>
        <color rgb="FF000000"/>
        <rFont val="Arial"/>
        <family val="2"/>
      </rPr>
      <t xml:space="preserve">&gt; N</t>
    </r>
  </si>
  <si>
    <t/>
    <r>
      <rPr>
        <sz val="9.75"/>
        <color rgb="FF000000"/>
        <rFont val="Noto Sans CJK SC"/>
        <family val="2"/>
      </rPr>
      <t>业务单据</t>
    </r>
    <r>
      <rPr>
        <sz val="9.75"/>
        <color rgb="FF000000"/>
        <rFont val="Arial"/>
        <family val="2"/>
      </rPr>
      <t xml:space="preserve">ID, </t>
    </r>
    <r>
      <rPr>
        <sz val="9.75"/>
        <color rgb="FF000000"/>
        <rFont val="Noto Sans CJK SC"/>
        <family val="2"/>
      </rPr>
      <t>退回次数</t>
    </r>
    <r>
      <rPr>
        <sz val="9.75"/>
        <color rgb="FF000000"/>
        <rFont val="Arial"/>
        <family val="2"/>
      </rPr>
      <t xml:space="preserve">, </t>
    </r>
    <r>
      <rPr>
        <sz val="9.75"/>
        <color rgb="FF000000"/>
        <rFont val="Noto Sans CJK SC"/>
        <family val="2"/>
      </rPr>
      <t>退回原因</t>
    </r>
  </si>
  <si>
    <t/>
    <r>
      <rPr>
        <sz val="9.75"/>
        <color rgb="FF000000"/>
        <rFont val="Noto Sans CJK SC"/>
        <family val="2"/>
      </rPr>
      <t xml:space="preserve">★挂载对象 </t>
    </r>
    <r>
      <rPr>
        <sz val="9.75"/>
        <color rgb="FF000000"/>
        <rFont val="Arial"/>
        <family val="2"/>
      </rPr>
      <t xml:space="preserve">= </t>
    </r>
    <r>
      <rPr>
        <sz val="9.75"/>
        <color rgb="FF000000"/>
        <rFont val="Noto Sans CJK SC"/>
        <family val="2"/>
      </rPr>
      <t>业务单据，不是企业。效能标签不挂企业</t>
    </r>
  </si>
  <si>
    <t/>
    <r>
      <rPr>
        <sz val="9.75"/>
        <color rgb="FF000000"/>
        <rFont val="Noto Sans CJK SC"/>
        <family val="2"/>
      </rPr>
      <t>（示例</t>
    </r>
    <r>
      <rPr>
        <sz val="9.75"/>
        <color rgb="FF000000"/>
        <rFont val="Arial"/>
        <family val="2"/>
      </rPr>
      <t>·</t>
    </r>
    <r>
      <rPr>
        <sz val="9.75"/>
        <color rgb="FF000000"/>
        <rFont val="Noto Sans CJK SC"/>
        <family val="2"/>
      </rPr>
      <t>请删除本行）</t>
    </r>
  </si>
  <si>
    <t/>
    <r>
      <rPr>
        <sz val="9.75"/>
        <color rgb="FF000000"/>
        <rFont val="Noto Sans CJK SC"/>
        <family val="2"/>
      </rPr>
      <t xml:space="preserve">图约束 </t>
    </r>
    <r>
      <rPr>
        <sz val="9.75"/>
        <color rgb="FF000000"/>
        <rFont val="Arial"/>
        <family val="2"/>
      </rPr>
      <t>C1</t>
    </r>
    <r>
      <rPr>
        <sz val="9.75"/>
        <color rgb="FF000000"/>
        <rFont val="Noto Sans CJK SC"/>
        <family val="2"/>
      </rPr>
      <t>；有限责任公司适用</t>
    </r>
  </si>
  <si>
    <t/>
    <r>
      <rPr>
        <sz val="9.75"/>
        <color rgb="FF000000"/>
        <rFont val="Noto Sans CJK SC"/>
        <family val="2"/>
      </rPr>
      <t>自然人</t>
    </r>
    <r>
      <rPr>
        <sz val="9.75"/>
        <color rgb="FF000000"/>
        <rFont val="Arial"/>
        <family val="2"/>
      </rPr>
      <t xml:space="preserve">ID, </t>
    </r>
    <r>
      <rPr>
        <sz val="9.75"/>
        <color rgb="FF000000"/>
        <rFont val="Noto Sans CJK SC"/>
        <family val="2"/>
      </rPr>
      <t>任职企业</t>
    </r>
    <r>
      <rPr>
        <sz val="9.75"/>
        <color rgb="FF000000"/>
        <rFont val="Arial"/>
        <family val="2"/>
      </rPr>
      <t xml:space="preserve">, </t>
    </r>
    <r>
      <rPr>
        <sz val="9.75"/>
        <color rgb="FF000000"/>
        <rFont val="Noto Sans CJK SC"/>
        <family val="2"/>
      </rPr>
      <t>证件签发地</t>
    </r>
  </si>
  <si>
    <t/>
    <r>
      <rPr>
        <sz val="9.75"/>
        <color rgb="FF000000"/>
        <rFont val="Noto Sans CJK SC"/>
        <family val="2"/>
      </rPr>
      <t>注册资本</t>
    </r>
    <r>
      <rPr>
        <sz val="9.75"/>
        <color rgb="FF000000"/>
        <rFont val="Arial"/>
        <family val="2"/>
      </rPr>
      <t xml:space="preserve">, </t>
    </r>
    <r>
      <rPr>
        <sz val="9.75"/>
        <color rgb="FF000000"/>
        <rFont val="Noto Sans CJK SC"/>
        <family val="2"/>
      </rPr>
      <t>行业码</t>
    </r>
  </si>
  <si>
    <t/>
    <r>
      <rPr>
        <sz val="9.75"/>
        <color rgb="FF000000"/>
        <rFont val="Noto Sans CJK SC"/>
        <family val="2"/>
      </rPr>
      <t xml:space="preserve">注册资本 </t>
    </r>
    <r>
      <rPr>
        <sz val="9.75"/>
        <color rgb="FF000000"/>
        <rFont val="Arial"/>
        <family val="2"/>
      </rPr>
      <t xml:space="preserve">&gt; </t>
    </r>
    <r>
      <rPr>
        <sz val="9.75"/>
        <color rgb="FF000000"/>
        <rFont val="Noto Sans CJK SC"/>
        <family val="2"/>
      </rPr>
      <t xml:space="preserve">同行业 </t>
    </r>
    <r>
      <rPr>
        <sz val="9.75"/>
        <color rgb="FF000000"/>
        <rFont val="Arial"/>
        <family val="2"/>
      </rPr>
      <t>P99.9</t>
    </r>
  </si>
  <si>
    <t/>
    <r>
      <rPr>
        <sz val="9.75"/>
        <color rgb="FF000000"/>
        <rFont val="Noto Sans CJK SC"/>
        <family val="2"/>
      </rPr>
      <t>名称</t>
    </r>
    <r>
      <rPr>
        <sz val="9.75"/>
        <color rgb="FF000000"/>
        <rFont val="Arial"/>
        <family val="2"/>
      </rPr>
      <t xml:space="preserve">, </t>
    </r>
    <r>
      <rPr>
        <sz val="9.75"/>
        <color rgb="FF000000"/>
        <rFont val="Noto Sans CJK SC"/>
        <family val="2"/>
      </rPr>
      <t>统一社会信用代码</t>
    </r>
  </si>
  <si>
    <t/>
    <r>
      <rPr>
        <sz val="9.75"/>
        <color rgb="FF000000"/>
        <rFont val="Noto Sans CJK SC"/>
        <family val="2"/>
      </rPr>
      <t>总局登记注册局</t>
    </r>
    <r>
      <rPr>
        <sz val="9.75"/>
        <color rgb="FF000000"/>
        <rFont val="Arial"/>
        <family val="2"/>
      </rPr>
      <t>/</t>
    </r>
    <r>
      <rPr>
        <sz val="9.75"/>
        <color rgb="FF000000"/>
        <rFont val="Noto Sans CJK SC"/>
        <family val="2"/>
      </rPr>
      <t>网数中心</t>
    </r>
    <r>
      <rPr>
        <sz val="9.75"/>
        <color rgb="FF000000"/>
        <rFont val="Arial"/>
        <family val="2"/>
      </rPr>
      <t>/</t>
    </r>
    <r>
      <rPr>
        <sz val="9.75"/>
        <color rgb="FF000000"/>
        <rFont val="Noto Sans CJK SC"/>
        <family val="2"/>
      </rPr>
      <t xml:space="preserve">代码中心联合印发。★注意：依据是总局通知而非法律法规，故规则类型为「规范性」不是「法定强制」—— 这一条是自查公式抓出来的典型错误</t>
    </r>
  </si>
  <si>
    <t/>
    <r>
      <rPr>
        <sz val="9.75"/>
        <color rgb="FF000000"/>
        <rFont val="Noto Sans CJK SC"/>
        <family val="2"/>
      </rPr>
      <t xml:space="preserve">住所 </t>
    </r>
    <r>
      <rPr>
        <sz val="9.75"/>
        <color rgb="FF000000"/>
        <rFont val="Arial"/>
        <family val="2"/>
      </rPr>
      <t xml:space="preserve">IS NULL OR </t>
    </r>
    <r>
      <rPr>
        <sz val="9.75"/>
        <color rgb="FF000000"/>
        <rFont val="Noto Sans CJK SC"/>
        <family val="2"/>
      </rPr>
      <t xml:space="preserve">住所 </t>
    </r>
    <r>
      <rPr>
        <sz val="9.75"/>
        <color rgb="FF000000"/>
        <rFont val="Arial"/>
        <family val="2"/>
      </rPr>
      <t xml:space="preserve">= ''</t>
    </r>
  </si>
  <si>
    <t/>
    <r>
      <rPr>
        <sz val="9.75"/>
        <color rgb="FF000000"/>
        <rFont val="Noto Sans CJK SC"/>
        <family val="2"/>
      </rPr>
      <t>第</t>
    </r>
    <r>
      <rPr>
        <sz val="9.75"/>
        <color rgb="FF000000"/>
        <rFont val="Arial"/>
        <family val="2"/>
      </rPr>
      <t>32</t>
    </r>
    <r>
      <rPr>
        <sz val="9.75"/>
        <color rgb="FF000000"/>
        <rFont val="Noto Sans CJK SC"/>
        <family val="2"/>
      </rPr>
      <t>条：住所为公司登记事项</t>
    </r>
  </si>
  <si>
    <t/>
    <r>
      <rPr>
        <sz val="9.75"/>
        <color rgb="FF000000"/>
        <rFont val="Noto Sans CJK SC"/>
        <family val="2"/>
      </rPr>
      <t>办法第</t>
    </r>
    <r>
      <rPr>
        <sz val="9.75"/>
        <color rgb="FF000000"/>
        <rFont val="Arial"/>
        <family val="2"/>
      </rPr>
      <t>2</t>
    </r>
    <r>
      <rPr>
        <sz val="9.75"/>
        <color rgb="FF000000"/>
        <rFont val="Noto Sans CJK SC"/>
        <family val="2"/>
      </rPr>
      <t>条：公司应当通过相关登记注册系统备案受益所有人信息。是股权穿透的法源</t>
    </r>
  </si>
  <si>
    <t/>
    <r>
      <rPr>
        <sz val="9.75"/>
        <color rgb="FF000000"/>
        <rFont val="Noto Sans CJK SC"/>
        <family val="2"/>
      </rPr>
      <t>《受益所有人信息管理办法》第</t>
    </r>
    <r>
      <rPr>
        <sz val="9.75"/>
        <color rgb="FF000000"/>
        <rFont val="Arial"/>
        <family val="2"/>
      </rPr>
      <t>2</t>
    </r>
    <r>
      <rPr>
        <sz val="9.75"/>
        <color rgb="FF000000"/>
        <rFont val="Noto Sans CJK SC"/>
        <family val="2"/>
      </rPr>
      <t xml:space="preserve">条 </t>
    </r>
    <r>
      <rPr>
        <sz val="9.75"/>
        <color rgb="FF000000"/>
        <rFont val="Arial"/>
        <family val="2"/>
      </rPr>
      <t xml:space="preserve">+ </t>
    </r>
    <r>
      <rPr>
        <sz val="9.75"/>
        <color rgb="FF000000"/>
        <rFont val="Noto Sans CJK SC"/>
        <family val="2"/>
      </rPr>
      <t>《条例》第</t>
    </r>
    <r>
      <rPr>
        <sz val="9.75"/>
        <color rgb="FF000000"/>
        <rFont val="Arial"/>
        <family val="2"/>
      </rPr>
      <t>9</t>
    </r>
    <r>
      <rPr>
        <sz val="9.75"/>
        <color rgb="FF000000"/>
        <rFont val="Noto Sans CJK SC"/>
        <family val="2"/>
      </rPr>
      <t>条</t>
    </r>
  </si>
  <si>
    <t/>
    <r>
      <rPr>
        <sz val="9.75"/>
        <color rgb="FF000000"/>
        <rFont val="Noto Sans CJK SC"/>
        <family val="2"/>
      </rPr>
      <t xml:space="preserve">应备案 </t>
    </r>
    <r>
      <rPr>
        <sz val="9.75"/>
        <color rgb="FF000000"/>
        <rFont val="Arial"/>
        <family val="2"/>
      </rPr>
      <t xml:space="preserve">AND </t>
    </r>
    <r>
      <rPr>
        <sz val="9.75"/>
        <color rgb="FF000000"/>
        <rFont val="Noto Sans CJK SC"/>
        <family val="2"/>
      </rPr>
      <t>未备案</t>
    </r>
  </si>
  <si>
    <t/>
    <r>
      <rPr>
        <sz val="9.75"/>
        <color rgb="FF000000"/>
        <rFont val="Noto Sans CJK SC"/>
        <family val="2"/>
      </rPr>
      <t>疑点清单下发日</t>
    </r>
    <r>
      <rPr>
        <sz val="9.75"/>
        <color rgb="FF000000"/>
        <rFont val="Arial"/>
        <family val="2"/>
      </rPr>
      <t xml:space="preserve">, </t>
    </r>
    <r>
      <rPr>
        <sz val="9.75"/>
        <color rgb="FF000000"/>
        <rFont val="Noto Sans CJK SC"/>
        <family val="2"/>
      </rPr>
      <t>销号日</t>
    </r>
    <r>
      <rPr>
        <sz val="9.75"/>
        <color rgb="FF000000"/>
        <rFont val="Arial"/>
        <family val="2"/>
      </rPr>
      <t xml:space="preserve">, </t>
    </r>
    <r>
      <rPr>
        <sz val="9.75"/>
        <color rgb="FF000000"/>
        <rFont val="Noto Sans CJK SC"/>
        <family val="2"/>
      </rPr>
      <t>登记机关</t>
    </r>
    <r>
      <rPr>
        <sz val="9.75"/>
        <color rgb="FF000000"/>
        <rFont val="Arial"/>
        <family val="2"/>
      </rPr>
      <t>ID</t>
    </r>
  </si>
  <si>
    <t/>
    <r>
      <rPr>
        <sz val="9.75"/>
        <color rgb="FF000000"/>
        <rFont val="Noto Sans CJK SC"/>
        <family val="2"/>
      </rPr>
      <t xml:space="preserve">★挂载对象 </t>
    </r>
    <r>
      <rPr>
        <sz val="9.75"/>
        <color rgb="FF000000"/>
        <rFont val="Arial"/>
        <family val="2"/>
      </rPr>
      <t xml:space="preserve">= </t>
    </r>
    <r>
      <rPr>
        <sz val="9.75"/>
        <color rgb="FF000000"/>
        <rFont val="Noto Sans CJK SC"/>
        <family val="2"/>
      </rPr>
      <t>登记机关。这是「各地标准不一」的量化载体</t>
    </r>
  </si>
  <si>
    <t/>
    <r>
      <rPr>
        <sz val="9.75"/>
        <color rgb="FF000000"/>
        <rFont val="Noto Sans CJK SC"/>
        <family val="2"/>
      </rPr>
      <t xml:space="preserve">整改闭环时长 </t>
    </r>
    <r>
      <rPr>
        <sz val="9.75"/>
        <color rgb="FF000000"/>
        <rFont val="Arial"/>
        <family val="2"/>
      </rPr>
      <t xml:space="preserve">&gt; </t>
    </r>
    <r>
      <rPr>
        <sz val="9.75"/>
        <color rgb="FF000000"/>
        <rFont val="Noto Sans CJK SC"/>
        <family val="2"/>
      </rPr>
      <t>约定时限</t>
    </r>
  </si>
  <si>
    <t/>
    <r>
      <rPr>
        <sz val="9.75"/>
        <color rgb="FF000000"/>
        <rFont val="Noto Sans CJK SC"/>
        <family val="2"/>
      </rPr>
      <t xml:space="preserve">代办量 </t>
    </r>
    <r>
      <rPr>
        <sz val="9.75"/>
        <color rgb="FF000000"/>
        <rFont val="Arial"/>
        <family val="2"/>
      </rPr>
      <t xml:space="preserve">&gt; 3σ AND </t>
    </r>
    <r>
      <rPr>
        <sz val="9.75"/>
        <color rgb="FF000000"/>
        <rFont val="Noto Sans CJK SC"/>
        <family val="2"/>
      </rPr>
      <t xml:space="preserve">核准率 </t>
    </r>
    <r>
      <rPr>
        <sz val="9.75"/>
        <color rgb="FF000000"/>
        <rFont val="Arial"/>
        <family val="2"/>
      </rPr>
      <t xml:space="preserve">&lt; </t>
    </r>
    <r>
      <rPr>
        <sz val="9.75"/>
        <color rgb="FF000000"/>
        <rFont val="Noto Sans CJK SC"/>
        <family val="2"/>
      </rPr>
      <t>阈值</t>
    </r>
  </si>
  <si>
    <t/>
    <r>
      <rPr>
        <sz val="9.75"/>
        <color rgb="FF000000"/>
        <rFont val="Noto Sans CJK SC"/>
        <family val="2"/>
      </rPr>
      <t>代理人</t>
    </r>
    <r>
      <rPr>
        <sz val="9.75"/>
        <color rgb="FF000000"/>
        <rFont val="Arial"/>
        <family val="2"/>
      </rPr>
      <t xml:space="preserve">ID, 30</t>
    </r>
    <r>
      <rPr>
        <sz val="9.75"/>
        <color rgb="FF000000"/>
        <rFont val="Noto Sans CJK SC"/>
        <family val="2"/>
      </rPr>
      <t>日代办量</t>
    </r>
    <r>
      <rPr>
        <sz val="9.75"/>
        <color rgb="FF000000"/>
        <rFont val="Arial"/>
        <family val="2"/>
      </rPr>
      <t xml:space="preserve">, </t>
    </r>
    <r>
      <rPr>
        <sz val="9.75"/>
        <color rgb="FF000000"/>
        <rFont val="Noto Sans CJK SC"/>
        <family val="2"/>
      </rPr>
      <t>核准率</t>
    </r>
  </si>
  <si>
    <t/>
    <r>
      <rPr>
        <sz val="9.75"/>
        <color rgb="FF000000"/>
        <rFont val="Noto Sans CJK SC"/>
        <family val="2"/>
      </rPr>
      <t>《国务院关于印发注册资本登记制度改革方案的通知》</t>
    </r>
    <r>
      <rPr>
        <sz val="9.75"/>
        <color rgb="FF000000"/>
        <rFont val="Arial"/>
        <family val="2"/>
      </rPr>
      <t>(</t>
    </r>
    <r>
      <rPr>
        <sz val="9.75"/>
        <color rgb="FF000000"/>
        <rFont val="Noto Sans CJK SC"/>
        <family val="2"/>
      </rPr>
      <t>国发〔</t>
    </r>
    <r>
      <rPr>
        <sz val="9.75"/>
        <color rgb="FF000000"/>
        <rFont val="Arial"/>
        <family val="2"/>
      </rPr>
      <t>2014</t>
    </r>
    <r>
      <rPr>
        <sz val="9.75"/>
        <color rgb="FF000000"/>
        <rFont val="Noto Sans CJK SC"/>
        <family val="2"/>
      </rPr>
      <t>〕</t>
    </r>
    <r>
      <rPr>
        <sz val="9.75"/>
        <color rgb="FF000000"/>
        <rFont val="Arial"/>
        <family val="2"/>
      </rPr>
      <t>7</t>
    </r>
    <r>
      <rPr>
        <sz val="9.75"/>
        <color rgb="FF000000"/>
        <rFont val="Noto Sans CJK SC"/>
        <family val="2"/>
      </rPr>
      <t>号</t>
    </r>
    <r>
      <rPr>
        <sz val="9.75"/>
        <color rgb="FF000000"/>
        <rFont val="Arial"/>
        <family val="2"/>
      </rPr>
      <t>)</t>
    </r>
  </si>
  <si>
    <t/>
    <r>
      <rPr>
        <sz val="9.75"/>
        <color rgb="FF000000"/>
        <rFont val="Noto Sans CJK SC"/>
        <family val="2"/>
      </rPr>
      <t xml:space="preserve">行业 </t>
    </r>
    <r>
      <rPr>
        <sz val="9.75"/>
        <color rgb="FF000000"/>
        <rFont val="Arial"/>
        <family val="2"/>
      </rPr>
      <t xml:space="preserve">IN </t>
    </r>
    <r>
      <rPr>
        <sz val="9.75"/>
        <color rgb="FF000000"/>
        <rFont val="Noto Sans CJK SC"/>
        <family val="2"/>
      </rPr>
      <t xml:space="preserve">实缴制名录 </t>
    </r>
    <r>
      <rPr>
        <sz val="9.75"/>
        <color rgb="FF000000"/>
        <rFont val="Arial"/>
        <family val="2"/>
      </rPr>
      <t xml:space="preserve">AND </t>
    </r>
    <r>
      <rPr>
        <sz val="9.75"/>
        <color rgb="FF000000"/>
        <rFont val="Noto Sans CJK SC"/>
        <family val="2"/>
      </rPr>
      <t xml:space="preserve">实缴额 </t>
    </r>
    <r>
      <rPr>
        <sz val="9.75"/>
        <color rgb="FF000000"/>
        <rFont val="Arial"/>
        <family val="2"/>
      </rPr>
      <t xml:space="preserve">= 0</t>
    </r>
  </si>
  <si>
    <t/>
    <r>
      <rPr>
        <sz val="9.75"/>
        <color rgb="FF000000"/>
        <rFont val="Noto Sans CJK SC"/>
        <family val="2"/>
      </rPr>
      <t>行业码</t>
    </r>
    <r>
      <rPr>
        <sz val="9.75"/>
        <color rgb="FF000000"/>
        <rFont val="Arial"/>
        <family val="2"/>
      </rPr>
      <t xml:space="preserve">, </t>
    </r>
    <r>
      <rPr>
        <sz val="9.75"/>
        <color rgb="FF000000"/>
        <rFont val="Noto Sans CJK SC"/>
        <family val="2"/>
      </rPr>
      <t>实缴额</t>
    </r>
  </si>
  <si>
    <t/>
    <r>
      <rPr>
        <sz val="9.75"/>
        <color rgb="FF000000"/>
        <rFont val="Noto Sans CJK SC"/>
        <family val="2"/>
      </rPr>
      <t>第</t>
    </r>
    <r>
      <rPr>
        <sz val="9.75"/>
        <color rgb="FF000000"/>
        <rFont val="Arial"/>
        <family val="2"/>
      </rPr>
      <t>14</t>
    </r>
    <r>
      <rPr>
        <sz val="9.75"/>
        <color rgb="FF000000"/>
        <rFont val="Noto Sans CJK SC"/>
        <family val="2"/>
      </rPr>
      <t>条：登记前依法须经批准的许可经营项目，应当在申请登记时提交有关批准文件</t>
    </r>
  </si>
  <si>
    <t/>
    <r>
      <rPr>
        <sz val="9.75"/>
        <color rgb="FF000000"/>
        <rFont val="Noto Sans CJK SC"/>
        <family val="2"/>
      </rPr>
      <t>经营范围条目</t>
    </r>
    <r>
      <rPr>
        <sz val="9.75"/>
        <color rgb="FF000000"/>
        <rFont val="Arial"/>
        <family val="2"/>
      </rPr>
      <t xml:space="preserve">, </t>
    </r>
    <r>
      <rPr>
        <sz val="9.75"/>
        <color rgb="FF000000"/>
        <rFont val="Noto Sans CJK SC"/>
        <family val="2"/>
      </rPr>
      <t>批准文件</t>
    </r>
  </si>
  <si>
    <t/>
    <r>
      <rPr>
        <sz val="9.75"/>
        <color rgb="FF000000"/>
        <rFont val="Arial"/>
        <family val="2"/>
      </rPr>
      <t>EXISTS(</t>
    </r>
    <r>
      <rPr>
        <sz val="9.75"/>
        <color rgb="FF000000"/>
        <rFont val="Noto Sans CJK SC"/>
        <family val="2"/>
      </rPr>
      <t>条目</t>
    </r>
    <r>
      <rPr>
        <sz val="9.75"/>
        <color rgb="FF000000"/>
        <rFont val="Arial"/>
        <family val="2"/>
      </rPr>
      <t>.</t>
    </r>
    <r>
      <rPr>
        <sz val="9.75"/>
        <color rgb="FF000000"/>
        <rFont val="Noto Sans CJK SC"/>
        <family val="2"/>
      </rPr>
      <t xml:space="preserve">许可项 </t>
    </r>
    <r>
      <rPr>
        <sz val="9.75"/>
        <color rgb="FF000000"/>
        <rFont val="Arial"/>
        <family val="2"/>
      </rPr>
      <t xml:space="preserve">= true) AND </t>
    </r>
    <r>
      <rPr>
        <sz val="9.75"/>
        <color rgb="FF000000"/>
        <rFont val="Noto Sans CJK SC"/>
        <family val="2"/>
      </rPr>
      <t xml:space="preserve">批准文件 </t>
    </r>
    <r>
      <rPr>
        <sz val="9.75"/>
        <color rgb="FF000000"/>
        <rFont val="Arial"/>
        <family val="2"/>
      </rPr>
      <t xml:space="preserve">IS NULL</t>
    </r>
  </si>
  <si>
    <t/>
    <r>
      <rPr>
        <sz val="9.75"/>
        <color rgb="FF000000"/>
        <rFont val="Noto Sans CJK SC"/>
        <family val="2"/>
      </rPr>
      <t>《市场主体登记管理条例》第</t>
    </r>
    <r>
      <rPr>
        <sz val="9.75"/>
        <color rgb="FF000000"/>
        <rFont val="Arial"/>
        <family val="2"/>
      </rPr>
      <t>24</t>
    </r>
    <r>
      <rPr>
        <sz val="9.75"/>
        <color rgb="FF000000"/>
        <rFont val="Noto Sans CJK SC"/>
        <family val="2"/>
      </rPr>
      <t>条</t>
    </r>
  </si>
  <si>
    <t/>
    <r>
      <rPr>
        <sz val="9.75"/>
        <color rgb="FF000000"/>
        <rFont val="Noto Sans CJK SC"/>
        <family val="2"/>
      </rPr>
      <t xml:space="preserve">申请日期 </t>
    </r>
    <r>
      <rPr>
        <sz val="9.75"/>
        <color rgb="FF000000"/>
        <rFont val="Arial"/>
        <family val="2"/>
      </rPr>
      <t xml:space="preserve">- </t>
    </r>
    <r>
      <rPr>
        <sz val="9.75"/>
        <color rgb="FF000000"/>
        <rFont val="Noto Sans CJK SC"/>
        <family val="2"/>
      </rPr>
      <t xml:space="preserve">决议日期 </t>
    </r>
    <r>
      <rPr>
        <sz val="9.75"/>
        <color rgb="FF000000"/>
        <rFont val="Arial"/>
        <family val="2"/>
      </rPr>
      <t xml:space="preserve">&gt; 30</t>
    </r>
    <r>
      <rPr>
        <sz val="9.75"/>
        <color rgb="FF000000"/>
        <rFont val="Noto Sans CJK SC"/>
        <family val="2"/>
      </rPr>
      <t>日</t>
    </r>
  </si>
  <si>
    <t/>
    <r>
      <rPr>
        <sz val="9.75"/>
        <color rgb="FF000000"/>
        <rFont val="Noto Sans CJK SC"/>
        <family val="2"/>
      </rPr>
      <t>变更决议日期</t>
    </r>
    <r>
      <rPr>
        <sz val="9.75"/>
        <color rgb="FF000000"/>
        <rFont val="Arial"/>
        <family val="2"/>
      </rPr>
      <t xml:space="preserve">, </t>
    </r>
    <r>
      <rPr>
        <sz val="9.75"/>
        <color rgb="FF000000"/>
        <rFont val="Noto Sans CJK SC"/>
        <family val="2"/>
      </rPr>
      <t>变更申请日期</t>
    </r>
  </si>
  <si>
    <t/>
    <r>
      <rPr>
        <sz val="9.75"/>
        <color rgb="FF000000"/>
        <rFont val="Noto Sans CJK SC"/>
        <family val="2"/>
      </rPr>
      <t>第</t>
    </r>
    <r>
      <rPr>
        <sz val="9.75"/>
        <color rgb="FF000000"/>
        <rFont val="Arial"/>
        <family val="2"/>
      </rPr>
      <t>24</t>
    </r>
    <r>
      <rPr>
        <sz val="9.75"/>
        <color rgb="FF000000"/>
        <rFont val="Noto Sans CJK SC"/>
        <family val="2"/>
      </rPr>
      <t>条：自作出变更决议、决定或者法定变更事项发生之日起</t>
    </r>
    <r>
      <rPr>
        <sz val="9.75"/>
        <color rgb="FF000000"/>
        <rFont val="Arial"/>
        <family val="2"/>
      </rPr>
      <t>30</t>
    </r>
    <r>
      <rPr>
        <sz val="9.75"/>
        <color rgb="FF000000"/>
        <rFont val="Noto Sans CJK SC"/>
        <family val="2"/>
      </rPr>
      <t>日内申请变更登记</t>
    </r>
  </si>
  <si>
    <t/>
    <r>
      <rPr>
        <sz val="9.75"/>
        <color rgb="FF000000"/>
        <rFont val="Noto Sans CJK SC"/>
        <family val="2"/>
      </rPr>
      <t>债务清偿状态</t>
    </r>
    <r>
      <rPr>
        <sz val="9.75"/>
        <color rgb="FF000000"/>
        <rFont val="Arial"/>
        <family val="2"/>
      </rPr>
      <t xml:space="preserve">, </t>
    </r>
    <r>
      <rPr>
        <sz val="9.75"/>
        <color rgb="FF000000"/>
        <rFont val="Noto Sans CJK SC"/>
        <family val="2"/>
      </rPr>
      <t>全体股东承诺</t>
    </r>
  </si>
  <si>
    <t/>
    <r>
      <rPr>
        <sz val="9.75"/>
        <color rgb="FF000000"/>
        <rFont val="Noto Sans CJK SC"/>
        <family val="2"/>
      </rPr>
      <t>第</t>
    </r>
    <r>
      <rPr>
        <sz val="9.75"/>
        <color rgb="FF000000"/>
        <rFont val="Arial"/>
        <family val="2"/>
      </rPr>
      <t>240</t>
    </r>
    <r>
      <rPr>
        <sz val="9.75"/>
        <color rgb="FF000000"/>
        <rFont val="Noto Sans CJK SC"/>
        <family val="2"/>
      </rPr>
      <t>条：存续期间未产生债务或已清偿全部债务，经全体股东承诺，可简易注销</t>
    </r>
  </si>
  <si>
    <t/>
    <r>
      <rPr>
        <sz val="9.75"/>
        <color rgb="FF000000"/>
        <rFont val="Noto Sans CJK SC"/>
        <family val="2"/>
      </rPr>
      <t>《公司法》第</t>
    </r>
    <r>
      <rPr>
        <sz val="9.75"/>
        <color rgb="FF000000"/>
        <rFont val="Arial"/>
        <family val="2"/>
      </rPr>
      <t>240</t>
    </r>
    <r>
      <rPr>
        <sz val="9.75"/>
        <color rgb="FF000000"/>
        <rFont val="Noto Sans CJK SC"/>
        <family val="2"/>
      </rPr>
      <t>条</t>
    </r>
  </si>
  <si>
    <t/>
    <r>
      <rPr>
        <sz val="9.75"/>
        <color rgb="FF000000"/>
        <rFont val="Noto Sans CJK SC"/>
        <family val="2"/>
      </rPr>
      <t xml:space="preserve">简易注销 </t>
    </r>
    <r>
      <rPr>
        <sz val="9.75"/>
        <color rgb="FF000000"/>
        <rFont val="Arial"/>
        <family val="2"/>
      </rPr>
      <t xml:space="preserve">AND (</t>
    </r>
    <r>
      <rPr>
        <sz val="9.75"/>
        <color rgb="FF000000"/>
        <rFont val="Noto Sans CJK SC"/>
        <family val="2"/>
      </rPr>
      <t xml:space="preserve">存在未清偿债务 </t>
    </r>
    <r>
      <rPr>
        <sz val="9.75"/>
        <color rgb="FF000000"/>
        <rFont val="Arial"/>
        <family val="2"/>
      </rPr>
      <t xml:space="preserve">OR </t>
    </r>
    <r>
      <rPr>
        <sz val="9.75"/>
        <color rgb="FF000000"/>
        <rFont val="Noto Sans CJK SC"/>
        <family val="2"/>
      </rPr>
      <t>无全体股东承诺</t>
    </r>
    <r>
      <rPr>
        <sz val="9.75"/>
        <color rgb="FF000000"/>
        <rFont val="Arial"/>
        <family val="2"/>
      </rPr>
      <t>)</t>
    </r>
  </si>
  <si>
    <t/>
    <r>
      <rPr>
        <sz val="9.75"/>
        <color rgb="FF000000"/>
        <rFont val="Noto Sans CJK SC"/>
        <family val="2"/>
      </rPr>
      <t>《公司法》第178条（任职资格）</t>
    </r>
    <r>
      <rPr>
        <sz val="9.75"/>
        <color rgb="FF000000"/>
        <rFont val="Arial"/>
        <family val="2"/>
      </rPr>
      <t xml:space="preserve">+ </t>
    </r>
    <r>
      <rPr>
        <sz val="9.75"/>
        <color rgb="FF000000"/>
        <rFont val="Noto Sans CJK SC"/>
        <family val="2"/>
      </rPr>
      <t>失信名单</t>
    </r>
  </si>
  <si>
    <t/>
    <r>
      <rPr>
        <sz val="9.75"/>
        <color rgb="FF000000"/>
        <rFont val="Noto Sans CJK SC"/>
        <family val="2"/>
      </rPr>
      <t xml:space="preserve">失信被执行人 </t>
    </r>
    <r>
      <rPr>
        <sz val="9.75"/>
        <color rgb="FF000000"/>
        <rFont val="Arial"/>
        <family val="2"/>
      </rPr>
      <t xml:space="preserve">AND </t>
    </r>
    <r>
      <rPr>
        <sz val="9.75"/>
        <color rgb="FF000000"/>
        <rFont val="Noto Sans CJK SC"/>
        <family val="2"/>
      </rPr>
      <t xml:space="preserve">任职生效日 </t>
    </r>
    <r>
      <rPr>
        <sz val="9.75"/>
        <color rgb="FF000000"/>
        <rFont val="Arial"/>
        <family val="2"/>
      </rPr>
      <t xml:space="preserve">IN </t>
    </r>
    <r>
      <rPr>
        <sz val="9.75"/>
        <color rgb="FF000000"/>
        <rFont val="Noto Sans CJK SC"/>
        <family val="2"/>
      </rPr>
      <t>失信期</t>
    </r>
  </si>
  <si>
    <t/>
    <r>
      <rPr>
        <sz val="9.75"/>
        <color rgb="FF000000"/>
        <rFont val="Noto Sans CJK SC"/>
        <family val="2"/>
      </rPr>
      <t>法定代表人证件号</t>
    </r>
    <r>
      <rPr>
        <sz val="9.75"/>
        <color rgb="FF000000"/>
        <rFont val="Arial"/>
        <family val="2"/>
      </rPr>
      <t xml:space="preserve">, </t>
    </r>
    <r>
      <rPr>
        <sz val="9.75"/>
        <color rgb="FF000000"/>
        <rFont val="Noto Sans CJK SC"/>
        <family val="2"/>
      </rPr>
      <t>失信状态</t>
    </r>
    <r>
      <rPr>
        <sz val="9.75"/>
        <color rgb="FF000000"/>
        <rFont val="Arial"/>
        <family val="2"/>
      </rPr>
      <t xml:space="preserve">, </t>
    </r>
    <r>
      <rPr>
        <sz val="9.75"/>
        <color rgb="FF000000"/>
        <rFont val="Noto Sans CJK SC"/>
        <family val="2"/>
      </rPr>
      <t>任职生效日</t>
    </r>
  </si>
  <si>
    <t/>
    <r>
      <rPr>
        <sz val="9.75"/>
        <color rgb="FF000000"/>
        <rFont val="Noto Sans CJK SC"/>
        <family val="2"/>
      </rPr>
      <t xml:space="preserve">图约束 </t>
    </r>
    <r>
      <rPr>
        <sz val="9.75"/>
        <color rgb="FF000000"/>
        <rFont val="Arial"/>
        <family val="2"/>
      </rPr>
      <t>C2</t>
    </r>
    <r>
      <rPr>
        <sz val="9.75"/>
        <color rgb="FF000000"/>
        <rFont val="Noto Sans CJK SC"/>
        <family val="2"/>
      </rPr>
      <t>。★跨省杀手锏：单省数据看不出，全国图谱才暴露。须核实《公司法》任职资格具体条款</t>
    </r>
  </si>
  <si>
    <t/>
    <r>
      <rPr>
        <sz val="9.75"/>
        <color rgb="FF000000"/>
        <rFont val="Noto Sans CJK SC"/>
        <family val="2"/>
      </rPr>
      <t>认缴出资数额</t>
    </r>
    <r>
      <rPr>
        <sz val="9.75"/>
        <color rgb="FF000000"/>
        <rFont val="Arial"/>
        <family val="2"/>
      </rPr>
      <t xml:space="preserve">, </t>
    </r>
    <r>
      <rPr>
        <sz val="9.75"/>
        <color rgb="FF000000"/>
        <rFont val="Noto Sans CJK SC"/>
        <family val="2"/>
      </rPr>
      <t>缴付期限</t>
    </r>
    <r>
      <rPr>
        <sz val="9.75"/>
        <color rgb="FF000000"/>
        <rFont val="Arial"/>
        <family val="2"/>
      </rPr>
      <t xml:space="preserve">, </t>
    </r>
    <r>
      <rPr>
        <sz val="9.75"/>
        <color rgb="FF000000"/>
        <rFont val="Noto Sans CJK SC"/>
        <family val="2"/>
      </rPr>
      <t>出资方式</t>
    </r>
  </si>
  <si>
    <t/>
    <r>
      <rPr>
        <sz val="9.75"/>
        <color rgb="FF000000"/>
        <rFont val="Noto Sans CJK SC"/>
        <family val="2"/>
      </rPr>
      <t>第</t>
    </r>
    <r>
      <rPr>
        <sz val="9.75"/>
        <color rgb="FF000000"/>
        <rFont val="Arial"/>
        <family val="2"/>
      </rPr>
      <t>9</t>
    </r>
    <r>
      <rPr>
        <sz val="9.75"/>
        <color rgb="FF000000"/>
        <rFont val="Noto Sans CJK SC"/>
        <family val="2"/>
      </rPr>
      <t>条：认缴出资数额、缴付期限、出资方式为法定备案事项</t>
    </r>
  </si>
  <si>
    <t/>
    <r>
      <rPr>
        <sz val="9.75"/>
        <color rgb="FF000000"/>
        <rFont val="Noto Sans CJK SC"/>
        <family val="2"/>
      </rPr>
      <t>名称含协会</t>
    </r>
    <r>
      <rPr>
        <sz val="9.75"/>
        <color rgb="FF000000"/>
        <rFont val="Arial"/>
        <family val="2"/>
      </rPr>
      <t>/</t>
    </r>
    <r>
      <rPr>
        <sz val="9.75"/>
        <color rgb="FF000000"/>
        <rFont val="Noto Sans CJK SC"/>
        <family val="2"/>
      </rPr>
      <t xml:space="preserve">学会 </t>
    </r>
    <r>
      <rPr>
        <sz val="9.75"/>
        <color rgb="FF000000"/>
        <rFont val="Arial"/>
        <family val="2"/>
      </rPr>
      <t xml:space="preserve">AND </t>
    </r>
    <r>
      <rPr>
        <sz val="9.75"/>
        <color rgb="FF000000"/>
        <rFont val="Noto Sans CJK SC"/>
        <family val="2"/>
      </rPr>
      <t>国字头</t>
    </r>
  </si>
  <si>
    <t/>
    <r>
      <rPr>
        <sz val="9.75"/>
        <color rgb="FF000000"/>
        <rFont val="Noto Sans CJK SC"/>
        <family val="2"/>
      </rPr>
      <t>《市场主体登记管理条例》第</t>
    </r>
    <r>
      <rPr>
        <sz val="9.75"/>
        <color rgb="FF000000"/>
        <rFont val="Arial"/>
        <family val="2"/>
      </rPr>
      <t>14</t>
    </r>
    <r>
      <rPr>
        <sz val="9.75"/>
        <color rgb="FF000000"/>
        <rFont val="Noto Sans CJK SC"/>
        <family val="2"/>
      </rPr>
      <t xml:space="preserve">条 </t>
    </r>
    <r>
      <rPr>
        <sz val="9.75"/>
        <color rgb="FF000000"/>
        <rFont val="Arial"/>
        <family val="2"/>
      </rPr>
      <t xml:space="preserve">+ </t>
    </r>
    <r>
      <rPr>
        <sz val="9.75"/>
        <color rgb="FF000000"/>
        <rFont val="Noto Sans CJK SC"/>
        <family val="2"/>
      </rPr>
      <t>第</t>
    </r>
    <r>
      <rPr>
        <sz val="9.75"/>
        <color rgb="FF000000"/>
        <rFont val="Arial"/>
        <family val="2"/>
      </rPr>
      <t>26</t>
    </r>
    <r>
      <rPr>
        <sz val="9.75"/>
        <color rgb="FF000000"/>
        <rFont val="Noto Sans CJK SC"/>
        <family val="2"/>
      </rPr>
      <t>条</t>
    </r>
  </si>
  <si>
    <t/>
    <r>
      <rPr>
        <sz val="9.75"/>
        <color rgb="FF000000"/>
        <rFont val="Noto Sans CJK SC"/>
        <family val="2"/>
      </rPr>
      <t>许可证有效期</t>
    </r>
    <r>
      <rPr>
        <sz val="9.75"/>
        <color rgb="FF000000"/>
        <rFont val="Arial"/>
        <family val="2"/>
      </rPr>
      <t xml:space="preserve">, </t>
    </r>
    <r>
      <rPr>
        <sz val="9.75"/>
        <color rgb="FF000000"/>
        <rFont val="Noto Sans CJK SC"/>
        <family val="2"/>
      </rPr>
      <t>经营范围</t>
    </r>
  </si>
  <si>
    <t/>
    <r>
      <rPr>
        <sz val="9.75"/>
        <color rgb="FF000000"/>
        <rFont val="Noto Sans CJK SC"/>
        <family val="2"/>
      </rPr>
      <t xml:space="preserve">须批准的变更 </t>
    </r>
    <r>
      <rPr>
        <sz val="9.75"/>
        <color rgb="FF000000"/>
        <rFont val="Arial"/>
        <family val="2"/>
      </rPr>
      <t xml:space="preserve">AND </t>
    </r>
    <r>
      <rPr>
        <sz val="9.75"/>
        <color rgb="FF000000"/>
        <rFont val="Noto Sans CJK SC"/>
        <family val="2"/>
      </rPr>
      <t xml:space="preserve">申请日期 </t>
    </r>
    <r>
      <rPr>
        <sz val="9.75"/>
        <color rgb="FF000000"/>
        <rFont val="Arial"/>
        <family val="2"/>
      </rPr>
      <t xml:space="preserve">NOT IN </t>
    </r>
    <r>
      <rPr>
        <sz val="9.75"/>
        <color rgb="FF000000"/>
        <rFont val="Noto Sans CJK SC"/>
        <family val="2"/>
      </rPr>
      <t>批准文件有效期</t>
    </r>
  </si>
  <si>
    <t/>
    <r>
      <rPr>
        <sz val="9.75"/>
        <color rgb="FF000000"/>
        <rFont val="Noto Sans CJK SC"/>
        <family val="2"/>
      </rPr>
      <t>第</t>
    </r>
    <r>
      <rPr>
        <sz val="9.75"/>
        <color rgb="FF000000"/>
        <rFont val="Arial"/>
        <family val="2"/>
      </rPr>
      <t>24</t>
    </r>
    <r>
      <rPr>
        <sz val="9.75"/>
        <color rgb="FF000000"/>
        <rFont val="Noto Sans CJK SC"/>
        <family val="2"/>
      </rPr>
      <t>条：属于依法须经批准的，应当在批准文件有效期内申请变更登记</t>
    </r>
  </si>
  <si>
    <t/>
    <r>
      <rPr>
        <sz val="9.75"/>
        <color rgb="FF000000"/>
        <rFont val="Noto Sans CJK SC"/>
        <family val="2"/>
      </rPr>
      <t>变更事项</t>
    </r>
    <r>
      <rPr>
        <sz val="9.75"/>
        <color rgb="FF000000"/>
        <rFont val="Arial"/>
        <family val="2"/>
      </rPr>
      <t xml:space="preserve">, </t>
    </r>
    <r>
      <rPr>
        <sz val="9.75"/>
        <color rgb="FF000000"/>
        <rFont val="Noto Sans CJK SC"/>
        <family val="2"/>
      </rPr>
      <t>批准文件有效期</t>
    </r>
    <r>
      <rPr>
        <sz val="9.75"/>
        <color rgb="FF000000"/>
        <rFont val="Arial"/>
        <family val="2"/>
      </rPr>
      <t xml:space="preserve">, </t>
    </r>
    <r>
      <rPr>
        <sz val="9.75"/>
        <color rgb="FF000000"/>
        <rFont val="Noto Sans CJK SC"/>
        <family val="2"/>
      </rPr>
      <t>申请日期</t>
    </r>
  </si>
  <si>
    <t/>
    <r>
      <rPr>
        <sz val="9.75"/>
        <color rgb="FF000000"/>
        <rFont val="Noto Sans CJK SC"/>
        <family val="2"/>
      </rPr>
      <t xml:space="preserve">图约束 </t>
    </r>
    <r>
      <rPr>
        <sz val="9.75"/>
        <color rgb="FF000000"/>
        <rFont val="Arial"/>
        <family val="2"/>
      </rPr>
      <t>C4</t>
    </r>
    <r>
      <rPr>
        <sz val="9.75"/>
        <color rgb="FF000000"/>
        <rFont val="Noto Sans CJK SC"/>
        <family val="2"/>
      </rPr>
      <t>。属于赛题原文说的「数据矛盾」，零误报</t>
    </r>
  </si>
  <si>
    <t/>
    <r>
      <rPr>
        <sz val="9.75"/>
        <color rgb="FF000000"/>
        <rFont val="Noto Sans CJK SC"/>
        <family val="2"/>
      </rPr>
      <t>主体状态</t>
    </r>
    <r>
      <rPr>
        <sz val="9.75"/>
        <color rgb="FF000000"/>
        <rFont val="Arial"/>
        <family val="2"/>
      </rPr>
      <t xml:space="preserve">, </t>
    </r>
    <r>
      <rPr>
        <sz val="9.75"/>
        <color rgb="FF000000"/>
        <rFont val="Noto Sans CJK SC"/>
        <family val="2"/>
      </rPr>
      <t>变更事件日期</t>
    </r>
    <r>
      <rPr>
        <sz val="9.75"/>
        <color rgb="FF000000"/>
        <rFont val="Arial"/>
        <family val="2"/>
      </rPr>
      <t xml:space="preserve">, </t>
    </r>
    <r>
      <rPr>
        <sz val="9.75"/>
        <color rgb="FF000000"/>
        <rFont val="Noto Sans CJK SC"/>
        <family val="2"/>
      </rPr>
      <t>注销日</t>
    </r>
  </si>
  <si>
    <t/>
    <r>
      <rPr>
        <sz val="9.75"/>
        <color rgb="FF000000"/>
        <rFont val="Noto Sans CJK SC"/>
        <family val="2"/>
      </rPr>
      <t>《公司法》第</t>
    </r>
    <r>
      <rPr>
        <sz val="9.75"/>
        <color rgb="FF000000"/>
        <rFont val="Arial"/>
        <family val="2"/>
      </rPr>
      <t>37</t>
    </r>
    <r>
      <rPr>
        <sz val="9.75"/>
        <color rgb="FF000000"/>
        <rFont val="Noto Sans CJK SC"/>
        <family val="2"/>
      </rPr>
      <t>条（数据一致性推定）</t>
    </r>
  </si>
  <si>
    <t/>
    <r>
      <rPr>
        <sz val="9.75"/>
        <color rgb="FF000000"/>
        <rFont val="Noto Sans CJK SC"/>
        <family val="2"/>
      </rPr>
      <t xml:space="preserve">状态 </t>
    </r>
    <r>
      <rPr>
        <sz val="9.75"/>
        <color rgb="FF000000"/>
        <rFont val="Arial"/>
        <family val="2"/>
      </rPr>
      <t xml:space="preserve">= </t>
    </r>
    <r>
      <rPr>
        <sz val="9.75"/>
        <color rgb="FF000000"/>
        <rFont val="Noto Sans CJK SC"/>
        <family val="2"/>
      </rPr>
      <t xml:space="preserve">注销 </t>
    </r>
    <r>
      <rPr>
        <sz val="9.75"/>
        <color rgb="FF000000"/>
        <rFont val="Arial"/>
        <family val="2"/>
      </rPr>
      <t xml:space="preserve">AND EXISTS(</t>
    </r>
    <r>
      <rPr>
        <sz val="9.75"/>
        <color rgb="FF000000"/>
        <rFont val="Noto Sans CJK SC"/>
        <family val="2"/>
      </rPr>
      <t>变更事件</t>
    </r>
    <r>
      <rPr>
        <sz val="9.75"/>
        <color rgb="FF000000"/>
        <rFont val="Arial"/>
        <family val="2"/>
      </rPr>
      <t>.</t>
    </r>
    <r>
      <rPr>
        <sz val="9.75"/>
        <color rgb="FF000000"/>
        <rFont val="Noto Sans CJK SC"/>
        <family val="2"/>
      </rPr>
      <t xml:space="preserve">日期 </t>
    </r>
    <r>
      <rPr>
        <sz val="9.75"/>
        <color rgb="FF000000"/>
        <rFont val="Arial"/>
        <family val="2"/>
      </rPr>
      <t xml:space="preserve">&gt; </t>
    </r>
    <r>
      <rPr>
        <sz val="9.75"/>
        <color rgb="FF000000"/>
        <rFont val="Noto Sans CJK SC"/>
        <family val="2"/>
      </rPr>
      <t>注销日</t>
    </r>
    <r>
      <rPr>
        <sz val="9.75"/>
        <color rgb="FF000000"/>
        <rFont val="Arial"/>
        <family val="2"/>
      </rPr>
      <t>)</t>
    </r>
  </si>
  <si>
    <t/>
    <r>
      <rPr>
        <sz val="9.75"/>
        <color rgb="FF000000"/>
        <rFont val="Noto Sans CJK SC"/>
        <family val="2"/>
      </rPr>
      <t>代理人</t>
    </r>
    <r>
      <rPr>
        <sz val="9.75"/>
        <color rgb="FF000000"/>
        <rFont val="Arial"/>
        <family val="2"/>
      </rPr>
      <t>.</t>
    </r>
    <r>
      <rPr>
        <sz val="9.75"/>
        <color rgb="FF000000"/>
        <rFont val="Noto Sans CJK SC"/>
        <family val="2"/>
      </rPr>
      <t xml:space="preserve">备案状态 </t>
    </r>
    <r>
      <rPr>
        <sz val="9.75"/>
        <color rgb="FF000000"/>
        <rFont val="Arial"/>
        <family val="2"/>
      </rPr>
      <t xml:space="preserve">&lt;&gt; </t>
    </r>
    <r>
      <rPr>
        <sz val="9.75"/>
        <color rgb="FF000000"/>
        <rFont val="Noto Sans CJK SC"/>
        <family val="2"/>
      </rPr>
      <t xml:space="preserve">已备案 </t>
    </r>
    <r>
      <rPr>
        <sz val="9.75"/>
        <color rgb="FF000000"/>
        <rFont val="Arial"/>
        <family val="2"/>
      </rPr>
      <t xml:space="preserve">OR </t>
    </r>
    <r>
      <rPr>
        <sz val="9.75"/>
        <color rgb="FF000000"/>
        <rFont val="Noto Sans CJK SC"/>
        <family val="2"/>
      </rPr>
      <t xml:space="preserve">核验接口 </t>
    </r>
    <r>
      <rPr>
        <sz val="9.75"/>
        <color rgb="FF000000"/>
        <rFont val="Arial"/>
        <family val="2"/>
      </rPr>
      <t xml:space="preserve">&lt;&gt; </t>
    </r>
    <r>
      <rPr>
        <sz val="9.75"/>
        <color rgb="FF000000"/>
        <rFont val="Noto Sans CJK SC"/>
        <family val="2"/>
      </rPr>
      <t>通过</t>
    </r>
  </si>
  <si>
    <t/>
    <r>
      <rPr>
        <sz val="9.75"/>
        <color rgb="FF000000"/>
        <rFont val="Noto Sans CJK SC"/>
        <family val="2"/>
      </rPr>
      <t>代理人</t>
    </r>
    <r>
      <rPr>
        <sz val="9.75"/>
        <color rgb="FF000000"/>
        <rFont val="Arial"/>
        <family val="2"/>
      </rPr>
      <t xml:space="preserve">ID, </t>
    </r>
    <r>
      <rPr>
        <sz val="9.75"/>
        <color rgb="FF000000"/>
        <rFont val="Noto Sans CJK SC"/>
        <family val="2"/>
      </rPr>
      <t>备案状态</t>
    </r>
  </si>
  <si>
    <t/>
    <r>
      <rPr>
        <sz val="9.75"/>
        <color rgb="FF000000"/>
        <rFont val="Arial"/>
        <family val="2"/>
      </rPr>
      <t>2025-10-30</t>
    </r>
    <r>
      <rPr>
        <sz val="9.75"/>
        <color rgb="FF000000"/>
        <rFont val="Noto Sans CJK SC"/>
        <family val="2"/>
      </rPr>
      <t>起：校验不通过的不得代理申报。★原文须从市场监管法规数据库获取，勿用地方转发解读</t>
    </r>
  </si>
  <si>
    <t/>
    <r>
      <rPr>
        <sz val="9.75"/>
        <color rgb="FF000000"/>
        <rFont val="Noto Sans CJK SC"/>
        <family val="2"/>
      </rPr>
      <t>第</t>
    </r>
    <r>
      <rPr>
        <sz val="9.75"/>
        <color rgb="FF000000"/>
        <rFont val="Arial"/>
        <family val="2"/>
      </rPr>
      <t>96</t>
    </r>
    <r>
      <rPr>
        <sz val="9.75"/>
        <color rgb="FF000000"/>
        <rFont val="Noto Sans CJK SC"/>
        <family val="2"/>
      </rPr>
      <t>条：股份公司注册资本为已发行股份的股本总额</t>
    </r>
  </si>
  <si>
    <t/>
    <r>
      <rPr>
        <sz val="9.75"/>
        <color rgb="FF000000"/>
        <rFont val="Noto Sans CJK SC"/>
        <family val="2"/>
      </rPr>
      <t>注册资本</t>
    </r>
    <r>
      <rPr>
        <sz val="9.75"/>
        <color rgb="FF000000"/>
        <rFont val="Arial"/>
        <family val="2"/>
      </rPr>
      <t xml:space="preserve">, </t>
    </r>
    <r>
      <rPr>
        <sz val="9.75"/>
        <color rgb="FF000000"/>
        <rFont val="Noto Sans CJK SC"/>
        <family val="2"/>
      </rPr>
      <t>已发行股份股本总额</t>
    </r>
  </si>
  <si>
    <t/>
    <r>
      <rPr>
        <sz val="9.75"/>
        <color rgb="FF000000"/>
        <rFont val="Noto Sans CJK SC"/>
        <family val="2"/>
      </rPr>
      <t xml:space="preserve">注册资本 </t>
    </r>
    <r>
      <rPr>
        <sz val="9.75"/>
        <color rgb="FF000000"/>
        <rFont val="Arial"/>
        <family val="2"/>
      </rPr>
      <t xml:space="preserve">&lt;&gt; </t>
    </r>
    <r>
      <rPr>
        <sz val="9.75"/>
        <color rgb="FF000000"/>
        <rFont val="Noto Sans CJK SC"/>
        <family val="2"/>
      </rPr>
      <t>已发行股份股本总额</t>
    </r>
  </si>
  <si>
    <t/>
    <r>
      <rPr>
        <sz val="9.75"/>
        <color rgb="FF000000"/>
        <rFont val="Noto Sans CJK SC"/>
        <family val="2"/>
      </rPr>
      <t xml:space="preserve">名称含国字头特征词 </t>
    </r>
    <r>
      <rPr>
        <sz val="9.75"/>
        <color rgb="FF000000"/>
        <rFont val="Arial"/>
        <family val="2"/>
      </rPr>
      <t xml:space="preserve">AND </t>
    </r>
    <r>
      <rPr>
        <sz val="9.75"/>
        <color rgb="FF000000"/>
        <rFont val="Noto Sans CJK SC"/>
        <family val="2"/>
      </rPr>
      <t>无相应核准</t>
    </r>
  </si>
  <si>
    <t/>
    <r>
      <rPr>
        <sz val="9.75"/>
        <color rgb="FF000000"/>
        <rFont val="Noto Sans CJK SC"/>
        <family val="2"/>
      </rPr>
      <t>假国企</t>
    </r>
    <r>
      <rPr>
        <sz val="9.75"/>
        <color rgb="FF000000"/>
        <rFont val="Arial"/>
        <family val="2"/>
      </rPr>
      <t>/</t>
    </r>
    <r>
      <rPr>
        <sz val="9.75"/>
        <color rgb="FF000000"/>
        <rFont val="Noto Sans CJK SC"/>
        <family val="2"/>
      </rPr>
      <t>国字头嫌疑</t>
    </r>
  </si>
  <si>
    <t/>
    <r>
      <rPr>
        <sz val="9.75"/>
        <color rgb="FF000000"/>
        <rFont val="Noto Sans CJK SC"/>
        <family val="2"/>
      </rPr>
      <t>★微观专题二入口。这不是风险标签，是专题范围标记，</t>
    </r>
    <r>
      <rPr>
        <sz val="9.75"/>
        <color rgb="FF000000"/>
        <rFont val="Arial"/>
        <family val="2"/>
      </rPr>
      <t>G</t>
    </r>
    <r>
      <rPr>
        <sz val="9.75"/>
        <color rgb="FF000000"/>
        <rFont val="Noto Sans CJK SC"/>
        <family val="2"/>
      </rPr>
      <t>列不可填法定强制</t>
    </r>
  </si>
  <si>
    <t/>
    <r>
      <rPr>
        <sz val="9.75"/>
        <color rgb="FF000000"/>
        <rFont val="Noto Sans CJK SC"/>
        <family val="2"/>
      </rPr>
      <t xml:space="preserve">地址标准化失败 </t>
    </r>
    <r>
      <rPr>
        <sz val="9.75"/>
        <color rgb="FF000000"/>
        <rFont val="Arial"/>
        <family val="2"/>
      </rPr>
      <t xml:space="preserve">OR </t>
    </r>
    <r>
      <rPr>
        <sz val="9.75"/>
        <color rgb="FF000000"/>
        <rFont val="Noto Sans CJK SC"/>
        <family val="2"/>
      </rPr>
      <t>无法解析到门牌</t>
    </r>
  </si>
  <si>
    <t/>
    <r>
      <rPr>
        <sz val="9.75"/>
        <color rgb="FF000000"/>
        <rFont val="Noto Sans CJK SC"/>
        <family val="2"/>
      </rPr>
      <t>《公司法》第</t>
    </r>
    <r>
      <rPr>
        <sz val="9.75"/>
        <color rgb="FF000000"/>
        <rFont val="Arial"/>
        <family val="2"/>
      </rPr>
      <t>37</t>
    </r>
    <r>
      <rPr>
        <sz val="9.75"/>
        <color rgb="FF000000"/>
        <rFont val="Noto Sans CJK SC"/>
        <family val="2"/>
      </rPr>
      <t>条</t>
    </r>
  </si>
  <si>
    <t/>
    <r>
      <rPr>
        <sz val="9.75"/>
        <color rgb="FF000000"/>
        <rFont val="Noto Sans CJK SC"/>
        <family val="2"/>
      </rPr>
      <t>已解散</t>
    </r>
    <r>
      <rPr>
        <sz val="9.75"/>
        <color rgb="FF000000"/>
        <rFont val="Arial"/>
        <family val="2"/>
      </rPr>
      <t>/</t>
    </r>
    <r>
      <rPr>
        <sz val="9.75"/>
        <color rgb="FF000000"/>
        <rFont val="Noto Sans CJK SC"/>
        <family val="2"/>
      </rPr>
      <t xml:space="preserve">被宣告破产 </t>
    </r>
    <r>
      <rPr>
        <sz val="9.75"/>
        <color rgb="FF000000"/>
        <rFont val="Arial"/>
        <family val="2"/>
      </rPr>
      <t xml:space="preserve">AND </t>
    </r>
    <r>
      <rPr>
        <sz val="9.75"/>
        <color rgb="FF000000"/>
        <rFont val="Noto Sans CJK SC"/>
        <family val="2"/>
      </rPr>
      <t>未申请注销</t>
    </r>
  </si>
  <si>
    <t/>
    <r>
      <rPr>
        <sz val="9.75"/>
        <color rgb="FF000000"/>
        <rFont val="Noto Sans CJK SC"/>
        <family val="2"/>
      </rPr>
      <t>第</t>
    </r>
    <r>
      <rPr>
        <sz val="9.75"/>
        <color rgb="FF000000"/>
        <rFont val="Arial"/>
        <family val="2"/>
      </rPr>
      <t>37</t>
    </r>
    <r>
      <rPr>
        <sz val="9.75"/>
        <color rgb="FF000000"/>
        <rFont val="Noto Sans CJK SC"/>
        <family val="2"/>
      </rPr>
      <t>条：因解散、被宣告破产或其他法定事由需要终止的，应当依法申请注销登记</t>
    </r>
  </si>
  <si>
    <t/>
    <r>
      <rPr>
        <sz val="9.75"/>
        <color rgb="FF000000"/>
        <rFont val="Noto Sans CJK SC"/>
        <family val="2"/>
      </rPr>
      <t>主体状态</t>
    </r>
    <r>
      <rPr>
        <sz val="9.75"/>
        <color rgb="FF000000"/>
        <rFont val="Arial"/>
        <family val="2"/>
      </rPr>
      <t xml:space="preserve">, </t>
    </r>
    <r>
      <rPr>
        <sz val="9.75"/>
        <color rgb="FF000000"/>
        <rFont val="Noto Sans CJK SC"/>
        <family val="2"/>
      </rPr>
      <t>终止事由</t>
    </r>
    <r>
      <rPr>
        <sz val="9.75"/>
        <color rgb="FF000000"/>
        <rFont val="Arial"/>
        <family val="2"/>
      </rPr>
      <t xml:space="preserve">, </t>
    </r>
    <r>
      <rPr>
        <sz val="9.75"/>
        <color rgb="FF000000"/>
        <rFont val="Noto Sans CJK SC"/>
        <family val="2"/>
      </rPr>
      <t>事由发生日</t>
    </r>
  </si>
  <si>
    <t/>
    <r>
      <rPr>
        <sz val="9.75"/>
        <color rgb="FF000000"/>
        <rFont val="Noto Sans CJK SC"/>
        <family val="2"/>
      </rPr>
      <t>《条例》第</t>
    </r>
    <r>
      <rPr>
        <sz val="9.75"/>
        <color rgb="FF000000"/>
        <rFont val="Arial"/>
        <family val="2"/>
      </rPr>
      <t>15</t>
    </r>
    <r>
      <rPr>
        <sz val="9.75"/>
        <color rgb="FF000000"/>
        <rFont val="Noto Sans CJK SC"/>
        <family val="2"/>
      </rPr>
      <t>条、《实施细则》第</t>
    </r>
    <r>
      <rPr>
        <sz val="9.75"/>
        <color rgb="FF000000"/>
        <rFont val="Arial"/>
        <family val="2"/>
      </rPr>
      <t>16</t>
    </r>
    <r>
      <rPr>
        <sz val="9.75"/>
        <color rgb="FF000000"/>
        <rFont val="Noto Sans CJK SC"/>
        <family val="2"/>
      </rPr>
      <t>条、《经营主体登记申请及代理行为管理办法》</t>
    </r>
  </si>
  <si>
    <t/>
    <r>
      <rPr>
        <sz val="9.75"/>
        <color rgb="FF000000"/>
        <rFont val="Noto Sans CJK SC"/>
        <family val="2"/>
      </rPr>
      <t>《公司法》第</t>
    </r>
    <r>
      <rPr>
        <sz val="9.75"/>
        <color rgb="FF000000"/>
        <rFont val="Arial"/>
        <family val="2"/>
      </rPr>
      <t>32</t>
    </r>
    <r>
      <rPr>
        <sz val="9.75"/>
        <color rgb="FF000000"/>
        <rFont val="Noto Sans CJK SC"/>
        <family val="2"/>
      </rPr>
      <t>条、《市场主体准入退出数据规范》、属地集群注册政策</t>
    </r>
  </si>
  <si>
    <t/>
    <r>
      <rPr>
        <sz val="9.75"/>
        <color rgb="FF000000"/>
        <rFont val="Noto Sans CJK SC"/>
        <family val="2"/>
      </rPr>
      <t>《公司法》第</t>
    </r>
    <r>
      <rPr>
        <sz val="9.75"/>
        <color rgb="FF000000"/>
        <rFont val="Arial"/>
        <family val="2"/>
      </rPr>
      <t>47/96</t>
    </r>
    <r>
      <rPr>
        <sz val="9.75"/>
        <color rgb="FF000000"/>
        <rFont val="Noto Sans CJK SC"/>
        <family val="2"/>
      </rPr>
      <t>条、国发〔</t>
    </r>
    <r>
      <rPr>
        <sz val="9.75"/>
        <color rgb="FF000000"/>
        <rFont val="Arial"/>
        <family val="2"/>
      </rPr>
      <t>2014</t>
    </r>
    <r>
      <rPr>
        <sz val="9.75"/>
        <color rgb="FF000000"/>
        <rFont val="Noto Sans CJK SC"/>
        <family val="2"/>
      </rPr>
      <t>〕</t>
    </r>
    <r>
      <rPr>
        <sz val="9.75"/>
        <color rgb="FF000000"/>
        <rFont val="Arial"/>
        <family val="2"/>
      </rPr>
      <t>7</t>
    </r>
    <r>
      <rPr>
        <sz val="9.75"/>
        <color rgb="FF000000"/>
        <rFont val="Noto Sans CJK SC"/>
        <family val="2"/>
      </rPr>
      <t>号、《条例》第</t>
    </r>
    <r>
      <rPr>
        <sz val="9.75"/>
        <color rgb="FF000000"/>
        <rFont val="Arial"/>
        <family val="2"/>
      </rPr>
      <t>9</t>
    </r>
    <r>
      <rPr>
        <sz val="9.75"/>
        <color rgb="FF000000"/>
        <rFont val="Noto Sans CJK SC"/>
        <family val="2"/>
      </rPr>
      <t>条</t>
    </r>
  </si>
  <si>
    <t/>
    <r>
      <rPr>
        <sz val="9.75"/>
        <color rgb="FF000000"/>
        <rFont val="Noto Sans CJK SC"/>
        <family val="2"/>
      </rPr>
      <t>《条例》第</t>
    </r>
    <r>
      <rPr>
        <sz val="9.75"/>
        <color rgb="FF000000"/>
        <rFont val="Arial"/>
        <family val="2"/>
      </rPr>
      <t>9/24</t>
    </r>
    <r>
      <rPr>
        <sz val="9.75"/>
        <color rgb="FF000000"/>
        <rFont val="Noto Sans CJK SC"/>
        <family val="2"/>
      </rPr>
      <t>条、《受益所有人信息管理办法》第</t>
    </r>
    <r>
      <rPr>
        <sz val="9.75"/>
        <color rgb="FF000000"/>
        <rFont val="Arial"/>
        <family val="2"/>
      </rPr>
      <t>2</t>
    </r>
    <r>
      <rPr>
        <sz val="9.75"/>
        <color rgb="FF000000"/>
        <rFont val="Noto Sans CJK SC"/>
        <family val="2"/>
      </rPr>
      <t>条</t>
    </r>
  </si>
  <si>
    <t/>
    <r>
      <rPr>
        <sz val="9.75"/>
        <color rgb="FF000000"/>
        <rFont val="Noto Sans CJK SC"/>
        <family val="2"/>
      </rPr>
      <t>《企业名称登记管理规定》及实施办法、《公司法》第</t>
    </r>
    <r>
      <rPr>
        <sz val="9.75"/>
        <color rgb="FF000000"/>
        <rFont val="Arial"/>
        <family val="2"/>
      </rPr>
      <t>32</t>
    </r>
    <r>
      <rPr>
        <sz val="9.75"/>
        <color rgb="FF000000"/>
        <rFont val="Noto Sans CJK SC"/>
        <family val="2"/>
      </rPr>
      <t>条、</t>
    </r>
    <r>
      <rPr>
        <sz val="9.75"/>
        <color rgb="FF000000"/>
        <rFont val="Arial"/>
        <family val="2"/>
      </rPr>
      <t>2026</t>
    </r>
    <r>
      <rPr>
        <sz val="9.75"/>
        <color rgb="FF000000"/>
        <rFont val="Noto Sans CJK SC"/>
        <family val="2"/>
      </rPr>
      <t>年版文书规范</t>
    </r>
  </si>
  <si>
    <t/>
    <r>
      <rPr>
        <sz val="9.75"/>
        <color rgb="FF000000"/>
        <rFont val="Noto Sans CJK SC"/>
        <family val="2"/>
      </rPr>
      <t>《公司法》第</t>
    </r>
    <r>
      <rPr>
        <sz val="9.75"/>
        <color rgb="FF000000"/>
        <rFont val="Arial"/>
        <family val="2"/>
      </rPr>
      <t>37/239/240</t>
    </r>
    <r>
      <rPr>
        <sz val="9.75"/>
        <color rgb="FF000000"/>
        <rFont val="Noto Sans CJK SC"/>
        <family val="2"/>
      </rPr>
      <t>条、《企业注销指引</t>
    </r>
    <r>
      <rPr>
        <sz val="9.75"/>
        <color rgb="FF000000"/>
        <rFont val="Arial"/>
        <family val="2"/>
      </rPr>
      <t>(2023</t>
    </r>
    <r>
      <rPr>
        <sz val="9.75"/>
        <color rgb="FF000000"/>
        <rFont val="Noto Sans CJK SC"/>
        <family val="2"/>
      </rPr>
      <t>年修订</t>
    </r>
    <r>
      <rPr>
        <sz val="9.75"/>
        <color rgb="FF000000"/>
        <rFont val="Arial"/>
        <family val="2"/>
      </rPr>
      <t>)</t>
    </r>
    <r>
      <rPr>
        <sz val="9.75"/>
        <color rgb="FF000000"/>
        <rFont val="Noto Sans CJK SC"/>
        <family val="2"/>
      </rPr>
      <t>》</t>
    </r>
  </si>
  <si>
    <t/>
    <r>
      <rPr>
        <sz val="9.75"/>
        <color rgb="FF000000"/>
        <rFont val="Noto Sans CJK SC"/>
        <family val="2"/>
      </rPr>
      <t>《条例》第</t>
    </r>
    <r>
      <rPr>
        <sz val="9.75"/>
        <color rgb="FF000000"/>
        <rFont val="Arial"/>
        <family val="2"/>
      </rPr>
      <t>14</t>
    </r>
    <r>
      <rPr>
        <sz val="9.75"/>
        <color rgb="FF000000"/>
        <rFont val="Noto Sans CJK SC"/>
        <family val="2"/>
      </rPr>
      <t>条、《经营范围规范表述目录》、</t>
    </r>
    <r>
      <rPr>
        <sz val="9.75"/>
        <color rgb="FF000000"/>
        <rFont val="Arial"/>
        <family val="2"/>
      </rPr>
      <t xml:space="preserve">TSG 07—2019 / Z7001 / Z7002</t>
    </r>
  </si>
  <si>
    <t/>
    <r>
      <rPr>
        <b/>
        <sz val="11.25"/>
        <color rgb="FF1F3864"/>
        <rFont val="Noto Sans CJK SC"/>
        <family val="2"/>
      </rPr>
      <t xml:space="preserve">■ 一致性自查（做完必须全为 </t>
    </r>
    <r>
      <rPr>
        <b/>
        <sz val="11.25"/>
        <color rgb="FF1F3864"/>
        <rFont val="Arial"/>
        <family val="2"/>
      </rPr>
      <t>0</t>
    </r>
    <r>
      <rPr>
        <b/>
        <sz val="11.25"/>
        <color rgb="FF1F3864"/>
        <rFont val="Noto Sans CJK SC"/>
        <family val="2"/>
      </rPr>
      <t>）</t>
    </r>
  </si>
  <si>
    <t/>
    <r>
      <rPr>
        <sz val="9.75"/>
        <color rgb="FF000000"/>
        <rFont val="Noto Sans CJK SC"/>
        <family val="2"/>
      </rPr>
      <t xml:space="preserve">上面两个数字任一 </t>
    </r>
    <r>
      <rPr>
        <sz val="9.75"/>
        <color rgb="FF000000"/>
        <rFont val="Arial"/>
        <family val="2"/>
      </rPr>
      <t xml:space="preserve">&gt; 0</t>
    </r>
    <r>
      <rPr>
        <sz val="9.75"/>
        <color rgb="FF000000"/>
        <rFont val="Noto Sans CJK SC"/>
        <family val="2"/>
      </rPr>
      <t>，说明规则表有逻辑错误，会在答辩现场被戳穿。</t>
    </r>
  </si>
  <si>
    <t/>
    <r>
      <rPr>
        <sz val="9.75"/>
        <color rgb="FF000000"/>
        <rFont val="Arial"/>
        <family val="2"/>
      </rPr>
      <t>2026</t>
    </r>
    <r>
      <rPr>
        <sz val="9.75"/>
        <color rgb="FF000000"/>
        <rFont val="Noto Sans CJK SC"/>
        <family val="2"/>
      </rPr>
      <t>年版禁用词完整清单（虚拟货币</t>
    </r>
    <r>
      <rPr>
        <sz val="9.75"/>
        <color rgb="FF000000"/>
        <rFont val="Arial"/>
        <family val="2"/>
      </rPr>
      <t>/</t>
    </r>
    <r>
      <rPr>
        <sz val="9.75"/>
        <color rgb="FF000000"/>
        <rFont val="Noto Sans CJK SC"/>
        <family val="2"/>
      </rPr>
      <t>稳定币</t>
    </r>
    <r>
      <rPr>
        <sz val="9.75"/>
        <color rgb="FF000000"/>
        <rFont val="Arial"/>
        <family val="2"/>
      </rPr>
      <t>/RWA</t>
    </r>
    <r>
      <rPr>
        <sz val="9.75"/>
        <color rgb="FF000000"/>
        <rFont val="Noto Sans CJK SC"/>
        <family val="2"/>
      </rPr>
      <t>等）</t>
    </r>
  </si>
  <si>
    <t/>
    <r>
      <rPr>
        <sz val="9.75"/>
        <color rgb="FF000000"/>
        <rFont val="Arial"/>
        <family val="2"/>
      </rPr>
      <t xml:space="preserve">★★ R-MC-02 </t>
    </r>
    <r>
      <rPr>
        <sz val="9.75"/>
        <color rgb="FF000000"/>
        <rFont val="Noto Sans CJK SC"/>
        <family val="2"/>
      </rPr>
      <t>的词表；最佳</t>
    </r>
    <r>
      <rPr>
        <sz val="9.75"/>
        <color rgb="FF000000"/>
        <rFont val="Arial"/>
        <family val="2"/>
      </rPr>
      <t>Demo</t>
    </r>
    <r>
      <rPr>
        <sz val="9.75"/>
        <color rgb="FF000000"/>
        <rFont val="Noto Sans CJK SC"/>
        <family val="2"/>
      </rPr>
      <t>素材</t>
    </r>
  </si>
  <si>
    <t/>
    <r>
      <rPr>
        <sz val="9.75"/>
        <color rgb="FF000000"/>
        <rFont val="Noto Sans CJK SC"/>
        <family val="2"/>
      </rPr>
      <t>第</t>
    </r>
    <r>
      <rPr>
        <sz val="9.75"/>
        <color rgb="FF000000"/>
        <rFont val="Arial"/>
        <family val="2"/>
      </rPr>
      <t>9</t>
    </r>
    <r>
      <rPr>
        <sz val="9.75"/>
        <color rgb="FF000000"/>
        <rFont val="Noto Sans CJK SC"/>
        <family val="2"/>
      </rPr>
      <t>条备案事项、第</t>
    </r>
    <r>
      <rPr>
        <sz val="9.75"/>
        <color rgb="FF000000"/>
        <rFont val="Arial"/>
        <family val="2"/>
      </rPr>
      <t>14</t>
    </r>
    <r>
      <rPr>
        <sz val="9.75"/>
        <color rgb="FF000000"/>
        <rFont val="Noto Sans CJK SC"/>
        <family val="2"/>
      </rPr>
      <t>条经营范围、第</t>
    </r>
    <r>
      <rPr>
        <sz val="9.75"/>
        <color rgb="FF000000"/>
        <rFont val="Arial"/>
        <family val="2"/>
      </rPr>
      <t>15</t>
    </r>
    <r>
      <rPr>
        <sz val="9.75"/>
        <color rgb="FF000000"/>
        <rFont val="Noto Sans CJK SC"/>
        <family val="2"/>
      </rPr>
      <t>条实名登记、第</t>
    </r>
    <r>
      <rPr>
        <sz val="9.75"/>
        <color rgb="FF000000"/>
        <rFont val="Arial"/>
        <family val="2"/>
      </rPr>
      <t>24</t>
    </r>
    <r>
      <rPr>
        <sz val="9.75"/>
        <color rgb="FF000000"/>
        <rFont val="Noto Sans CJK SC"/>
        <family val="2"/>
      </rPr>
      <t>条变更登记</t>
    </r>
  </si>
  <si>
    <t/>
    <r>
      <rPr>
        <sz val="9.75"/>
        <color rgb="FF000000"/>
        <rFont val="Noto Sans CJK SC"/>
        <family val="2"/>
      </rPr>
      <t>《企业注销指引</t>
    </r>
    <r>
      <rPr>
        <sz val="9.75"/>
        <color rgb="FF000000"/>
        <rFont val="Arial"/>
        <family val="2"/>
      </rPr>
      <t>(2023</t>
    </r>
    <r>
      <rPr>
        <sz val="9.75"/>
        <color rgb="FF000000"/>
        <rFont val="Noto Sans CJK SC"/>
        <family val="2"/>
      </rPr>
      <t>年修订</t>
    </r>
    <r>
      <rPr>
        <sz val="9.75"/>
        <color rgb="FF000000"/>
        <rFont val="Arial"/>
        <family val="2"/>
      </rPr>
      <t>)</t>
    </r>
    <r>
      <rPr>
        <sz val="9.75"/>
        <color rgb="FF000000"/>
        <rFont val="Noto Sans CJK SC"/>
        <family val="2"/>
      </rPr>
      <t>》</t>
    </r>
  </si>
  <si>
    <t/>
    <r>
      <rPr>
        <sz val="9.75"/>
        <color rgb="FF000000"/>
        <rFont val="Noto Sans CJK SC"/>
        <family val="2"/>
      </rPr>
      <t>普通</t>
    </r>
    <r>
      <rPr>
        <sz val="9.75"/>
        <color rgb="FF000000"/>
        <rFont val="Arial"/>
        <family val="2"/>
      </rPr>
      <t>/</t>
    </r>
    <r>
      <rPr>
        <sz val="9.75"/>
        <color rgb="FF000000"/>
        <rFont val="Noto Sans CJK SC"/>
        <family val="2"/>
      </rPr>
      <t>简易注销流程</t>
    </r>
  </si>
  <si>
    <t/>
    <r>
      <rPr>
        <sz val="9.75"/>
        <color rgb="FF000000"/>
        <rFont val="Noto Sans CJK SC"/>
        <family val="2"/>
      </rPr>
      <t>《特种设备生产和充装单位许可规则》</t>
    </r>
    <r>
      <rPr>
        <sz val="9.75"/>
        <color rgb="FF000000"/>
        <rFont val="Arial"/>
        <family val="2"/>
      </rPr>
      <t xml:space="preserve">TSG 07—2019</t>
    </r>
  </si>
  <si>
    <t/>
    <r>
      <rPr>
        <b/>
        <sz val="9.75"/>
        <color rgb="FFFFFFFF"/>
        <rFont val="Noto Sans CJK SC"/>
        <family val="2"/>
      </rPr>
      <t xml:space="preserve">法规 </t>
    </r>
    <r>
      <rPr>
        <b/>
        <sz val="9.75"/>
        <color rgb="FFFFFFFF"/>
        <rFont val="Arial"/>
        <family val="2"/>
      </rPr>
      <t xml:space="preserve">/ </t>
    </r>
    <r>
      <rPr>
        <b/>
        <sz val="9.75"/>
        <color rgb="FFFFFFFF"/>
        <rFont val="Noto Sans CJK SC"/>
        <family val="2"/>
      </rPr>
      <t>文件</t>
    </r>
  </si>
  <si>
    <t/>
    <r>
      <rPr>
        <sz val="9.75"/>
        <color rgb="FF000000"/>
        <rFont val="Noto Sans CJK SC"/>
        <family val="2"/>
      </rPr>
      <t>第</t>
    </r>
    <r>
      <rPr>
        <sz val="9.75"/>
        <color rgb="FF000000"/>
        <rFont val="Arial"/>
        <family val="2"/>
      </rPr>
      <t>8</t>
    </r>
    <r>
      <rPr>
        <sz val="9.75"/>
        <color rgb="FF000000"/>
        <rFont val="Noto Sans CJK SC"/>
        <family val="2"/>
      </rPr>
      <t>条年报期限、第</t>
    </r>
    <r>
      <rPr>
        <sz val="9.75"/>
        <color rgb="FF000000"/>
        <rFont val="Arial"/>
        <family val="2"/>
      </rPr>
      <t>9</t>
    </r>
    <r>
      <rPr>
        <sz val="9.75"/>
        <color rgb="FF000000"/>
        <rFont val="Noto Sans CJK SC"/>
        <family val="2"/>
      </rPr>
      <t>条年报内容</t>
    </r>
  </si>
  <si>
    <t/>
    <r>
      <rPr>
        <sz val="9.75"/>
        <color rgb="FF000000"/>
        <rFont val="Noto Sans CJK SC"/>
        <family val="2"/>
      </rPr>
      <t xml:space="preserve">官方问答，每条带法规原文链接 → 智能问答</t>
    </r>
    <r>
      <rPr>
        <sz val="9.75"/>
        <color rgb="FF000000"/>
        <rFont val="Arial"/>
        <family val="2"/>
      </rPr>
      <t>RAG</t>
    </r>
    <r>
      <rPr>
        <sz val="9.75"/>
        <color rgb="FF000000"/>
        <rFont val="Noto Sans CJK SC"/>
        <family val="2"/>
      </rPr>
      <t>种子语料</t>
    </r>
  </si>
  <si>
    <t/>
    <r>
      <rPr>
        <sz val="9.75"/>
        <color rgb="FF000000"/>
        <rFont val="Noto Sans CJK SC"/>
        <family val="2"/>
      </rPr>
      <t>第</t>
    </r>
    <r>
      <rPr>
        <sz val="9.75"/>
        <color rgb="FF000000"/>
        <rFont val="Arial"/>
        <family val="2"/>
      </rPr>
      <t>32</t>
    </r>
    <r>
      <rPr>
        <sz val="9.75"/>
        <color rgb="FF000000"/>
        <rFont val="Noto Sans CJK SC"/>
        <family val="2"/>
      </rPr>
      <t>条登记事项、第</t>
    </r>
    <r>
      <rPr>
        <sz val="9.75"/>
        <color rgb="FF000000"/>
        <rFont val="Arial"/>
        <family val="2"/>
      </rPr>
      <t>47</t>
    </r>
    <r>
      <rPr>
        <sz val="9.75"/>
        <color rgb="FF000000"/>
        <rFont val="Noto Sans CJK SC"/>
        <family val="2"/>
      </rPr>
      <t>条注册资本五年缴足、第</t>
    </r>
    <r>
      <rPr>
        <sz val="9.75"/>
        <color rgb="FF000000"/>
        <rFont val="Arial"/>
        <family val="2"/>
      </rPr>
      <t>96</t>
    </r>
    <r>
      <rPr>
        <sz val="9.75"/>
        <color rgb="FF000000"/>
        <rFont val="Noto Sans CJK SC"/>
        <family val="2"/>
      </rPr>
      <t>条股份公司、第</t>
    </r>
    <r>
      <rPr>
        <sz val="9.75"/>
        <color rgb="FF000000"/>
        <rFont val="Arial"/>
        <family val="2"/>
      </rPr>
      <t>37/239/240</t>
    </r>
    <r>
      <rPr>
        <sz val="9.75"/>
        <color rgb="FF000000"/>
        <rFont val="Noto Sans CJK SC"/>
        <family val="2"/>
      </rPr>
      <t>条注销</t>
    </r>
  </si>
  <si>
    <t/>
    <r>
      <rPr>
        <sz val="9.75"/>
        <color rgb="FF000000"/>
        <rFont val="Noto Sans CJK SC"/>
        <family val="2"/>
      </rPr>
      <t>第</t>
    </r>
    <r>
      <rPr>
        <sz val="9.75"/>
        <color rgb="FF000000"/>
        <rFont val="Arial"/>
        <family val="2"/>
      </rPr>
      <t>2</t>
    </r>
    <r>
      <rPr>
        <sz val="9.75"/>
        <color rgb="FF000000"/>
        <rFont val="Noto Sans CJK SC"/>
        <family val="2"/>
      </rPr>
      <t>条备案义务</t>
    </r>
  </si>
  <si>
    <t/>
    <r>
      <rPr>
        <sz val="9.75"/>
        <color rgb="FF000000"/>
        <rFont val="Arial"/>
        <family val="2"/>
      </rPr>
      <t>A/B/C/D</t>
    </r>
    <r>
      <rPr>
        <sz val="9.75"/>
        <color rgb="FF000000"/>
        <rFont val="Noto Sans CJK SC"/>
        <family val="2"/>
      </rPr>
      <t>四类；「不是对企业的信用评价」</t>
    </r>
  </si>
  <si>
    <t/>
    <r>
      <rPr>
        <sz val="9.75"/>
        <color rgb="FF000000"/>
        <rFont val="Noto Sans CJK SC"/>
        <family val="2"/>
      </rPr>
      <t xml:space="preserve">各省登记入口 </t>
    </r>
    <r>
      <rPr>
        <sz val="9.75"/>
        <color rgb="FF000000"/>
        <rFont val="Arial"/>
        <family val="2"/>
      </rPr>
      <t xml:space="preserve">+ </t>
    </r>
    <r>
      <rPr>
        <sz val="9.75"/>
        <color rgb="FF000000"/>
        <rFont val="Noto Sans CJK SC"/>
        <family val="2"/>
      </rPr>
      <t>代理人备案</t>
    </r>
  </si>
  <si>
    <t/>
    <r>
      <rPr>
        <sz val="9.75"/>
        <color rgb="FF000000"/>
        <rFont val="Noto Sans CJK SC"/>
        <family val="2"/>
      </rPr>
      <t>《经营范围规范表述目录</t>
    </r>
    <r>
      <rPr>
        <sz val="9.75"/>
        <color rgb="FF000000"/>
        <rFont val="Arial"/>
        <family val="2"/>
      </rPr>
      <t>(</t>
    </r>
    <r>
      <rPr>
        <sz val="9.75"/>
        <color rgb="FF000000"/>
        <rFont val="Noto Sans CJK SC"/>
        <family val="2"/>
      </rPr>
      <t>试行</t>
    </r>
    <r>
      <rPr>
        <sz val="9.75"/>
        <color rgb="FF000000"/>
        <rFont val="Arial"/>
        <family val="2"/>
      </rPr>
      <t>)</t>
    </r>
    <r>
      <rPr>
        <sz val="9.75"/>
        <color rgb="FF000000"/>
        <rFont val="Noto Sans CJK SC"/>
        <family val="2"/>
      </rPr>
      <t>》</t>
    </r>
  </si>
  <si>
    <t/>
    <r>
      <rPr>
        <sz val="9.75"/>
        <color rgb="FF000000"/>
        <rFont val="Arial"/>
        <family val="2"/>
      </rPr>
      <t xml:space="preserve">★★★ R-JY-03 </t>
    </r>
    <r>
      <rPr>
        <sz val="9.75"/>
        <color rgb="FF000000"/>
        <rFont val="Noto Sans CJK SC"/>
        <family val="2"/>
      </rPr>
      <t>与「目录缺口建议」的基础数据</t>
    </r>
  </si>
  <si>
    <t/>
    <r>
      <rPr>
        <sz val="9.75"/>
        <color rgb="FF000000"/>
        <rFont val="Noto Sans CJK SC"/>
        <family val="2"/>
      </rPr>
      <t>第</t>
    </r>
    <r>
      <rPr>
        <sz val="9.75"/>
        <color rgb="FF000000"/>
        <rFont val="Arial"/>
        <family val="2"/>
      </rPr>
      <t>16</t>
    </r>
    <r>
      <rPr>
        <sz val="9.75"/>
        <color rgb="FF000000"/>
        <rFont val="Noto Sans CJK SC"/>
        <family val="2"/>
      </rPr>
      <t>条实名登记范围</t>
    </r>
  </si>
  <si>
    <t/>
    <r>
      <rPr>
        <sz val="9.75"/>
        <color rgb="FF000000"/>
        <rFont val="Arial"/>
        <family val="2"/>
      </rPr>
      <t>2026-05-01</t>
    </r>
    <r>
      <rPr>
        <sz val="9.75"/>
        <color rgb="FF000000"/>
        <rFont val="Noto Sans CJK SC"/>
        <family val="2"/>
      </rPr>
      <t>施行，替代</t>
    </r>
    <r>
      <rPr>
        <sz val="9.75"/>
        <color rgb="FF000000"/>
        <rFont val="Arial"/>
        <family val="2"/>
      </rPr>
      <t>2022</t>
    </r>
    <r>
      <rPr>
        <sz val="9.75"/>
        <color rgb="FF000000"/>
        <rFont val="Noto Sans CJK SC"/>
        <family val="2"/>
      </rPr>
      <t>年版。禁用词新规须在此核实</t>
    </r>
  </si>
  <si>
    <t/>
    <r>
      <rPr>
        <sz val="9.75"/>
        <color rgb="FF000000"/>
        <rFont val="Noto Sans CJK SC"/>
        <family val="2"/>
      </rPr>
      <t>《经营主体登记文书规范</t>
    </r>
    <r>
      <rPr>
        <sz val="9.75"/>
        <color rgb="FF000000"/>
        <rFont val="Arial"/>
        <family val="2"/>
      </rPr>
      <t>/</t>
    </r>
    <r>
      <rPr>
        <sz val="9.75"/>
        <color rgb="FF000000"/>
        <rFont val="Noto Sans CJK SC"/>
        <family val="2"/>
      </rPr>
      <t>提交材料规范</t>
    </r>
    <r>
      <rPr>
        <sz val="9.75"/>
        <color rgb="FF000000"/>
        <rFont val="Arial"/>
        <family val="2"/>
      </rPr>
      <t>(2026</t>
    </r>
    <r>
      <rPr>
        <sz val="9.75"/>
        <color rgb="FF000000"/>
        <rFont val="Noto Sans CJK SC"/>
        <family val="2"/>
      </rPr>
      <t>年版</t>
    </r>
    <r>
      <rPr>
        <sz val="9.75"/>
        <color rgb="FF000000"/>
        <rFont val="Arial"/>
        <family val="2"/>
      </rPr>
      <t>)</t>
    </r>
    <r>
      <rPr>
        <sz val="9.75"/>
        <color rgb="FF000000"/>
        <rFont val="Noto Sans CJK SC"/>
        <family val="2"/>
      </rPr>
      <t>》</t>
    </r>
    <r>
      <rPr>
        <sz val="9.75"/>
        <color rgb="FF000000"/>
        <rFont val="Arial"/>
        <family val="2"/>
      </rPr>
      <t>(</t>
    </r>
    <r>
      <rPr>
        <sz val="9.75"/>
        <color rgb="FF000000"/>
        <rFont val="Noto Sans CJK SC"/>
        <family val="2"/>
      </rPr>
      <t>国市监注发〔</t>
    </r>
    <r>
      <rPr>
        <sz val="9.75"/>
        <color rgb="FF000000"/>
        <rFont val="Arial"/>
        <family val="2"/>
      </rPr>
      <t>2026</t>
    </r>
    <r>
      <rPr>
        <sz val="9.75"/>
        <color rgb="FF000000"/>
        <rFont val="Noto Sans CJK SC"/>
        <family val="2"/>
      </rPr>
      <t>〕</t>
    </r>
    <r>
      <rPr>
        <sz val="9.75"/>
        <color rgb="FF000000"/>
        <rFont val="Arial"/>
        <family val="2"/>
      </rPr>
      <t>5</t>
    </r>
    <r>
      <rPr>
        <sz val="9.75"/>
        <color rgb="FF000000"/>
        <rFont val="Noto Sans CJK SC"/>
        <family val="2"/>
      </rPr>
      <t>号</t>
    </r>
    <r>
      <rPr>
        <sz val="9.75"/>
        <color rgb="FF000000"/>
        <rFont val="Arial"/>
        <family val="2"/>
      </rPr>
      <t>)</t>
    </r>
  </si>
  <si>
    <t/>
    <r>
      <rPr>
        <sz val="9.75"/>
        <color rgb="FF000000"/>
        <rFont val="Noto Sans CJK SC"/>
        <family val="2"/>
      </rPr>
      <t>《经营主体登记申请及代理行为管理办法》</t>
    </r>
    <r>
      <rPr>
        <sz val="9.75"/>
        <color rgb="FF000000"/>
        <rFont val="Arial"/>
        <family val="2"/>
      </rPr>
      <t>(2025)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</si>
</sst>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2">
    <numFmt numFmtId="164" formatCode="General"/>
    <numFmt numFmtId="165" formatCode="General"/>
    <numFmt numFmtId="166" formatCode="General"/>
    <numFmt numFmtId="167" formatCode="General"/>
    <numFmt numFmtId="168" formatCode="General"/>
    <numFmt numFmtId="169" formatCode="General"/>
    <numFmt numFmtId="170" formatCode="General"/>
    <numFmt numFmtId="171" formatCode="General"/>
    <numFmt numFmtId="172" formatCode="General"/>
    <numFmt numFmtId="173" formatCode="General"/>
    <numFmt numFmtId="174" formatCode="General"/>
    <numFmt numFmtId="175" formatCode="General"/>
    <numFmt numFmtId="176" formatCode="General"/>
    <numFmt numFmtId="177" formatCode="General"/>
    <numFmt numFmtId="178" formatCode="General"/>
    <numFmt numFmtId="179" formatCode="General"/>
    <numFmt numFmtId="180" formatCode="General"/>
    <numFmt numFmtId="181" formatCode="General"/>
    <numFmt numFmtId="182" formatCode="General"/>
    <numFmt numFmtId="183" formatCode="General"/>
    <numFmt numFmtId="184" formatCode="0%"/>
    <numFmt numFmtId="185" formatCode="General"/>
    <numFmt numFmtId="186" formatCode="General"/>
    <numFmt numFmtId="187" formatCode="General"/>
    <numFmt numFmtId="188" formatCode="General"/>
    <numFmt numFmtId="189" formatCode="0%"/>
    <numFmt numFmtId="190" formatCode="General"/>
    <numFmt numFmtId="191" formatCode="General"/>
    <numFmt numFmtId="192" formatCode="General"/>
    <numFmt numFmtId="193" formatCode="General"/>
    <numFmt numFmtId="194" formatCode="General"/>
    <numFmt numFmtId="195" formatCode="General"/>
  </numFmts>
  <fonts count="12">
    <font>
      <sz val="10"/>
      <color theme="1"/>
      <name val="Calibri"/>
      <family val="2"/>
      <scheme val="minor"/>
    </font>
    <font>
      <sz val="10"/>
      <color rgb="FF000000"/>
      <name val="Noto Sans CJK SC"/>
      <family val="2"/>
    </font>
    <font>
      <sz val="10"/>
      <color rgb="FF000000"/>
      <name val="Arial"/>
      <family val="2"/>
    </font>
    <font>
      <b val="true"/>
      <sz val="11"/>
      <color rgb="FF1F3864"/>
      <name val="Noto Sans CJK SC"/>
      <family val="2"/>
    </font>
    <font>
      <b val="true"/>
      <sz val="14"/>
      <color rgb="FF1F3864"/>
      <name val="Noto Sans CJK SC"/>
      <family val="2"/>
    </font>
    <font>
      <sz val="10"/>
      <color rgb="FF000000"/>
      <name val="Noto Sans CJK SC"/>
      <family val="2"/>
    </font>
    <font>
      <b val="true"/>
      <sz val="10"/>
      <color rgb="FF000000"/>
      <name val="Arial"/>
      <family val="2"/>
    </font>
    <font>
      <sz val="10"/>
      <color rgb="FF000000"/>
      <name val="Arial"/>
      <family val="2"/>
    </font>
    <font>
      <b val="true"/>
      <sz val="10"/>
      <color rgb="FFFFFFFF"/>
      <name val="Noto Sans CJK SC"/>
      <family val="2"/>
    </font>
    <font>
      <b val="true"/>
      <sz val="10"/>
      <color rgb="FF000000"/>
      <name val="Noto Sans CJK SC"/>
      <family val="2"/>
    </font>
    <font>
      <sz val="11"/>
      <color rgb="FF000000"/>
      <name val="Calibri"/>
      <family val="2"/>
    </font>
    <font>
      <b val="true"/>
      <sz val="11"/>
      <color rgb="FFC00000"/>
      <name val="Noto Sans CJK SC"/>
      <family val="2"/>
    </font>
  </fonts>
  <fills count="21">
    <fill>
      <patternFill patternType="none">
        <fgColor/>
        <bgColor/>
      </patternFill>
    </fill>
    <fill>
      <patternFill patternType="gray125">
        <fgColor/>
        <bgColor/>
      </patternFill>
    </fill>
    <fill>
      <patternFill patternType="solid">
        <fgColor rgb="FFFCE4D6"/>
        <bgColor/>
      </patternFill>
    </fill>
    <fill>
      <patternFill patternType="solid">
        <fgColor rgb="FFFCE4D6"/>
        <bgColor/>
      </patternFill>
    </fill>
    <fill>
      <patternFill patternType="solid">
        <fgColor rgb="FFD9E2F3"/>
        <bgColor/>
      </patternFill>
    </fill>
    <fill>
      <patternFill patternType="solid">
        <fgColor rgb="FFFCE4D6"/>
        <bgColor/>
      </patternFill>
    </fill>
    <fill>
      <patternFill patternType="solid">
        <fgColor rgb="FFFCE4D6"/>
        <bgColor/>
      </patternFill>
    </fill>
    <fill>
      <patternFill patternType="solid">
        <fgColor rgb="FFE2EFDA"/>
        <bgColor/>
      </patternFill>
    </fill>
    <fill>
      <patternFill patternType="solid">
        <fgColor rgb="FFE2EFDA"/>
        <bgColor/>
      </patternFill>
    </fill>
    <fill>
      <patternFill patternType="solid">
        <fgColor rgb="FFE2EFDA"/>
        <bgColor/>
      </patternFill>
    </fill>
    <fill>
      <patternFill patternType="solid">
        <fgColor rgb="FFFCE4D6"/>
        <bgColor/>
      </patternFill>
    </fill>
    <fill>
      <patternFill patternType="solid">
        <fgColor rgb="FFE2EFDA"/>
        <bgColor/>
      </patternFill>
    </fill>
    <fill>
      <patternFill patternType="solid">
        <fgColor rgb="FF1F3864"/>
        <bgColor/>
      </patternFill>
    </fill>
    <fill>
      <patternFill patternType="solid">
        <fgColor rgb="FFFFFF00"/>
        <bgColor/>
      </patternFill>
    </fill>
    <fill>
      <patternFill patternType="solid">
        <fgColor rgb="FFFFFF00"/>
        <bgColor/>
      </patternFill>
    </fill>
    <fill>
      <patternFill patternType="solid">
        <fgColor rgb="FFE2EFDA"/>
        <bgColor/>
      </patternFill>
    </fill>
    <fill>
      <patternFill patternType="solid">
        <fgColor rgb="FFD9E2F3"/>
        <bgColor/>
      </patternFill>
    </fill>
    <fill>
      <patternFill patternType="solid">
        <fgColor rgb="FFD9E2F3"/>
        <bgColor/>
      </patternFill>
    </fill>
    <fill>
      <patternFill patternType="solid">
        <fgColor rgb="FFD9E2F3"/>
        <bgColor/>
      </patternFill>
    </fill>
    <fill>
      <patternFill patternType="solid">
        <fgColor rgb="FF1F3864"/>
        <bgColor/>
      </patternFill>
    </fill>
    <fill>
      <patternFill patternType="solid">
        <fgColor rgb="FF1F3864"/>
        <bgColor/>
      </patternFill>
    </fill>
  </fills>
  <borders count="3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right/>
      <top/>
      <bottom/>
      <diagonal/>
    </border>
  </borders>
  <cellStyleXfs count="1">
    <xf applyAlignment="true" applyBorder="false" applyFill="false" applyFont="false" applyNumberFormat="false" applyProtection="false" borderId="0" fillId="0" fontId="0" numFmtId="0"/>
  </cellStyleXfs>
  <cellXfs count="33">
    <xf applyAlignment="false" applyBorder="false" applyFill="false" applyFont="false" applyNumberFormat="false" applyProtection="false" borderId="0" fillId="0" fontId="0" numFmtId="0" xfId="0">
      <alignment vertical="center"/>
    </xf>
    <xf applyAlignment="true" applyBorder="false" applyFill="false" applyFont="true" applyNumberFormat="true" applyProtection="false" borderId="1" fillId="0" fontId="1" numFmtId="164" xfId="0">
      <alignment vertical="bottom"/>
    </xf>
    <xf applyAlignment="true" applyBorder="false" applyFill="false" applyFont="true" applyNumberFormat="true" applyProtection="false" borderId="2" fillId="0" fontId="2" numFmtId="165" xfId="0">
      <alignment vertical="bottom"/>
    </xf>
    <xf applyAlignment="true" applyBorder="false" applyFill="false" applyFont="true" applyNumberFormat="true" applyProtection="false" borderId="3" fillId="0" fontId="3" numFmtId="166" xfId="0">
      <alignment vertical="bottom"/>
    </xf>
    <xf applyAlignment="true" applyBorder="false" applyFill="false" applyFont="true" applyNumberFormat="true" applyProtection="false" borderId="4" fillId="0" fontId="4" numFmtId="167" xfId="0">
      <alignment vertical="bottom"/>
    </xf>
    <xf applyAlignment="true" applyBorder="false" applyFill="false" applyFont="true" applyNumberFormat="true" applyProtection="false" borderId="5" fillId="0" fontId="5" numFmtId="168" xfId="0">
      <alignment vertical="bottom"/>
    </xf>
    <xf applyAlignment="true" applyBorder="false" applyFill="true" applyFont="true" applyNumberFormat="true" applyProtection="false" borderId="6" fillId="2" fontId="1" numFmtId="169" xfId="0">
      <alignment vertical="top" wrapText="true"/>
    </xf>
    <xf applyAlignment="true" applyBorder="false" applyFill="true" applyFont="true" applyNumberFormat="true" applyProtection="false" borderId="7" fillId="3" fontId="2" numFmtId="170" xfId="0">
      <alignment vertical="top" wrapText="true"/>
    </xf>
    <xf applyAlignment="true" applyBorder="false" applyFill="true" applyFont="true" applyNumberFormat="true" applyProtection="false" borderId="8" fillId="4" fontId="1" numFmtId="171" xfId="0">
      <alignment vertical="top" wrapText="true"/>
    </xf>
    <xf applyAlignment="true" applyBorder="false" applyFill="true" applyFont="true" applyNumberFormat="true" applyProtection="false" borderId="9" fillId="5" fontId="6" numFmtId="172" xfId="0">
      <alignment vertical="top" wrapText="true"/>
    </xf>
    <xf applyAlignment="true" applyBorder="false" applyFill="true" applyFont="true" applyNumberFormat="true" applyProtection="false" borderId="10" fillId="6" fontId="5" numFmtId="173" xfId="0">
      <alignment vertical="top" wrapText="true"/>
    </xf>
    <xf applyAlignment="true" applyBorder="false" applyFill="true" applyFont="true" applyNumberFormat="true" applyProtection="false" borderId="11" fillId="7" fontId="1" numFmtId="174" xfId="0">
      <alignment vertical="top" wrapText="true"/>
    </xf>
    <xf applyAlignment="true" applyBorder="false" applyFill="true" applyFont="true" applyNumberFormat="true" applyProtection="false" borderId="12" fillId="8" fontId="2" numFmtId="175" xfId="0">
      <alignment vertical="top" wrapText="true"/>
    </xf>
    <xf applyAlignment="true" applyBorder="false" applyFill="true" applyFont="true" applyNumberFormat="true" applyProtection="false" borderId="13" fillId="9" fontId="6" numFmtId="176" xfId="0">
      <alignment vertical="top" wrapText="true"/>
    </xf>
    <xf applyAlignment="true" applyBorder="false" applyFill="true" applyFont="true" applyNumberFormat="true" applyProtection="false" borderId="14" fillId="10" fontId="7" numFmtId="177" xfId="0">
      <alignment vertical="top" wrapText="true"/>
    </xf>
    <xf applyAlignment="true" applyBorder="false" applyFill="true" applyFont="true" applyNumberFormat="true" applyProtection="false" borderId="15" fillId="11" fontId="7" numFmtId="178" xfId="0">
      <alignment vertical="top" wrapText="true"/>
    </xf>
    <xf applyAlignment="true" applyBorder="false" applyFill="true" applyFont="true" applyNumberFormat="true" applyProtection="false" borderId="16" fillId="12" fontId="8" numFmtId="179" xfId="0">
      <alignment horizontal="center" vertical="center" wrapText="true"/>
    </xf>
    <xf applyAlignment="true" applyBorder="false" applyFill="true" applyFont="true" applyNumberFormat="true" applyProtection="false" borderId="17" fillId="13" fontId="1" numFmtId="180" xfId="0">
      <alignment vertical="top" wrapText="true"/>
    </xf>
    <xf applyAlignment="true" applyBorder="false" applyFill="true" applyFont="true" applyNumberFormat="true" applyProtection="false" borderId="18" fillId="14" fontId="2" numFmtId="181" xfId="0">
      <alignment vertical="top" wrapText="true"/>
    </xf>
    <xf applyAlignment="true" applyBorder="false" applyFill="true" applyFont="true" applyNumberFormat="true" applyProtection="false" borderId="19" fillId="15" fontId="5" numFmtId="182" xfId="0">
      <alignment vertical="top" wrapText="true"/>
    </xf>
    <xf applyAlignment="true" applyBorder="false" applyFill="false" applyFont="true" applyNumberFormat="true" applyProtection="false" borderId="20" fillId="0" fontId="2" numFmtId="183" xfId="0">
      <alignment vertical="top" wrapText="true"/>
    </xf>
    <xf applyAlignment="true" applyBorder="false" applyFill="false" applyFont="true" applyNumberFormat="true" applyProtection="false" borderId="21" fillId="0" fontId="2" numFmtId="184" xfId="0">
      <alignment vertical="top" wrapText="true"/>
    </xf>
    <xf applyAlignment="true" applyBorder="false" applyFill="false" applyFont="true" applyNumberFormat="true" applyProtection="false" borderId="22" fillId="0" fontId="1" numFmtId="185" xfId="0">
      <alignment vertical="top" wrapText="true"/>
    </xf>
    <xf applyAlignment="true" applyBorder="false" applyFill="false" applyFont="true" applyNumberFormat="true" applyProtection="false" borderId="23" fillId="0" fontId="9" numFmtId="186" xfId="0">
      <alignment vertical="top" wrapText="true"/>
    </xf>
    <xf applyAlignment="true" applyBorder="false" applyFill="false" applyFont="true" applyNumberFormat="true" applyProtection="false" borderId="24" fillId="0" fontId="6" numFmtId="187" xfId="0">
      <alignment vertical="bottom"/>
    </xf>
    <xf applyAlignment="true" applyBorder="false" applyFill="true" applyFont="true" applyNumberFormat="true" applyProtection="false" borderId="25" fillId="16" fontId="9" numFmtId="188" xfId="0">
      <alignment vertical="bottom"/>
    </xf>
    <xf applyAlignment="true" applyBorder="false" applyFill="true" applyFont="true" applyNumberFormat="true" applyProtection="false" borderId="26" fillId="17" fontId="6" numFmtId="189" xfId="0">
      <alignment vertical="bottom"/>
    </xf>
    <xf applyAlignment="true" applyBorder="false" applyFill="true" applyFont="true" applyNumberFormat="true" applyProtection="false" borderId="27" fillId="18" fontId="10" numFmtId="190" xfId="0">
      <alignment vertical="bottom"/>
    </xf>
    <xf applyAlignment="true" applyBorder="false" applyFill="true" applyFont="true" applyNumberFormat="true" applyProtection="false" borderId="28" fillId="19" fontId="8" numFmtId="191" xfId="0">
      <alignment horizontal="center" vertical="center"/>
    </xf>
    <xf applyAlignment="true" applyBorder="false" applyFill="false" applyFont="true" applyNumberFormat="true" applyProtection="false" borderId="29" fillId="0" fontId="2" numFmtId="192" xfId="0">
      <alignment vertical="top" wrapText="true"/>
    </xf>
    <xf applyAlignment="true" applyBorder="false" applyFill="false" applyFont="true" applyNumberFormat="true" applyProtection="false" borderId="30" fillId="0" fontId="1" numFmtId="193" xfId="0">
      <alignment vertical="top" wrapText="true"/>
    </xf>
    <xf applyAlignment="true" applyBorder="false" applyFill="true" applyFont="true" applyNumberFormat="true" applyProtection="false" borderId="31" fillId="20" fontId="8" numFmtId="194" xfId="0">
      <alignment vertical="bottom"/>
    </xf>
    <xf applyAlignment="true" applyBorder="false" applyFill="false" applyFont="true" applyNumberFormat="true" applyProtection="false" borderId="32" fillId="0" fontId="11" numFmtId="195"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2" defaultRowHeight="18"/>
  <cols>
    <col collapsed="false" customWidth="true" hidden="false" max="1" min="1" style="0" width="105"/>
    <col collapsed="false" customWidth="true" hidden="false" max="2" min="2" style="0" width="8"/>
    <col collapsed="false" customWidth="true" hidden="false" max="3" min="3" style="0" width="8"/>
    <col collapsed="false" customWidth="true" hidden="false" max="4" min="4" style="0" width="8"/>
    <col collapsed="false" customWidth="true" hidden="false" max="5" min="5" style="0" width="8"/>
    <col collapsed="false" customWidth="true" hidden="false" max="6" min="6" style="0" width="8"/>
    <col collapsed="false" customWidth="true" hidden="false" max="7" min="7" style="0" width="8"/>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8"/>
    <col collapsed="false" customWidth="true" hidden="false" max="13" min="13" style="0" width="8"/>
    <col collapsed="false" customWidth="true" hidden="false" max="14" min="14" style="0" width="8"/>
    <col collapsed="false" customWidth="true" hidden="false" max="15" min="15" style="0" width="8"/>
    <col collapsed="false" customWidth="true" hidden="false" max="16" min="16" style="0" width="8"/>
    <col collapsed="false" customWidth="true" hidden="false" max="17" min="17" style="0" width="8"/>
    <col collapsed="false" customWidth="true" hidden="false" max="18" min="18" style="0" width="8"/>
    <col collapsed="false" customWidth="true" hidden="false" max="19" min="19" style="0" width="8"/>
    <col collapsed="false" customWidth="true" hidden="false" max="20" min="20" style="0" width="8"/>
  </cols>
  <sheetData>
    <row customHeight="true" ht="18" r="1">
      <c r="A1" s="4" t="str">
        <v>基于数据标签挖掘的企业登记注册合规风险监测 — 七列规则表</v>
      </c>
    </row>
    <row customHeight="true" ht="15" r="2">
      <c r="A2" s="2"/>
    </row>
    <row customHeight="true" ht="15" r="3">
      <c r="A3" s="3" t="str">
        <v>■ 这张表是什么</v>
      </c>
    </row>
    <row customHeight="true" ht="15" r="4">
      <c r="A4" s="1" t="str">
        <v>全项目最硬的资产。它是唯一一个别人抄不走、且能证明团队真读了法规的东西。</v>
      </c>
    </row>
    <row customHeight="true" ht="15" r="5">
      <c r="A5" s="1" t="str">
        <v>这条链正着读是设计，倒着读是解释。系统报警时复核人员只问一句“凭什么”，</v>
      </c>
    </row>
    <row customHeight="true" ht="15" r="6">
      <c r="A6" s="1" t="s">
        <v>28</v>
      </c>
    </row>
    <row customHeight="true" ht="15" r="7">
      <c r="A7" s="1" t="str">
        <v>这句话就是前四列倒着念。</v>
      </c>
    </row>
    <row customHeight="true" ht="15" r="8">
      <c r="A8" s="2"/>
    </row>
    <row customHeight="true" ht="17" r="9">
      <c r="A9" s="3" t="s">
        <v>14</v>
      </c>
    </row>
    <row customHeight="true" ht="15" r="10">
      <c r="A10" s="2" t="s">
        <v>9</v>
      </c>
    </row>
    <row customHeight="true" ht="15" r="11">
      <c r="A11" s="1" t="s">
        <v>24</v>
      </c>
    </row>
    <row customHeight="true" ht="15" r="12">
      <c r="A12" s="5" t="s">
        <v>19</v>
      </c>
    </row>
    <row customHeight="true" ht="15" r="13">
      <c r="A13" s="2"/>
    </row>
    <row customHeight="true" ht="15" r="14">
      <c r="A14" s="3" t="str">
        <v>■ 七列的含义与填写要求</v>
      </c>
    </row>
    <row customHeight="true" ht="15" r="15">
      <c r="A15" s="2" t="s">
        <v>6</v>
      </c>
    </row>
    <row customHeight="true" ht="15" r="16">
      <c r="A16" s="1" t="str">
        <v>　　　　　　找不到条款号 → 状态填「待核」，不要猜。猜错一个条款号，整张表的可信度归零。</v>
      </c>
    </row>
    <row customHeight="true" ht="15" r="17">
      <c r="A17" s="1" t="s">
        <v>15</v>
      </c>
    </row>
    <row customHeight="true" ht="15" r="18">
      <c r="A18" s="2" t="s">
        <v>10</v>
      </c>
    </row>
    <row customHeight="true" ht="15" r="19">
      <c r="A19" s="2" t="s">
        <v>25</v>
      </c>
    </row>
    <row customHeight="true" ht="15" r="20">
      <c r="A20" s="1" t="s">
        <v>20</v>
      </c>
    </row>
    <row customHeight="true" ht="15" r="21">
      <c r="A21" s="1" t="str">
        <v>　　　　　　　 是数据拿不到（如住所真实性需实地核查），还是它根本不是校验而是裁量？</v>
      </c>
    </row>
    <row customHeight="true" ht="15" r="22">
      <c r="A22" s="1" t="s">
        <v>29</v>
      </c>
    </row>
    <row customHeight="true" ht="15" r="23">
      <c r="A23" s="2" t="s">
        <v>7</v>
      </c>
    </row>
    <row customHeight="true" ht="15" r="24">
      <c r="A24" s="2" t="s">
        <v>4</v>
      </c>
    </row>
    <row customHeight="true" ht="15" r="25">
      <c r="A25" s="1" t="s">
        <v>16</v>
      </c>
    </row>
    <row customHeight="true" ht="15" r="26">
      <c r="A26" s="1" t="s">
        <v>11</v>
      </c>
    </row>
    <row customHeight="true" ht="15" r="27">
      <c r="A27" s="2" t="s">
        <v>26</v>
      </c>
    </row>
    <row customHeight="true" ht="15" r="28">
      <c r="A28" s="2" t="s">
        <v>21</v>
      </c>
    </row>
    <row customHeight="true" ht="15" r="29">
      <c r="A29" s="1" t="s">
        <v>1</v>
      </c>
    </row>
    <row customHeight="true" ht="15" r="30">
      <c r="A30" s="1" t="str">
        <v>　　　　　　　 全设成「阻断」是灾难 —— 一次误报阻断一家企业开办，是要担责的。</v>
      </c>
    </row>
    <row customHeight="true" ht="15" r="31">
      <c r="A31" s="2"/>
    </row>
    <row customHeight="true" ht="15" r="32">
      <c r="A32" s="3" t="str">
        <v>■ 三个管理列</v>
      </c>
    </row>
    <row customHeight="true" ht="15" r="33">
      <c r="A33" s="2" t="s">
        <v>22</v>
      </c>
    </row>
    <row customHeight="true" ht="15" r="34">
      <c r="A34" s="2" t="s">
        <v>17</v>
      </c>
    </row>
    <row customHeight="true" ht="15" r="35">
      <c r="A35" s="2" t="s">
        <v>30</v>
      </c>
    </row>
    <row customHeight="true" ht="15" r="36">
      <c r="A36" s="2"/>
    </row>
    <row customHeight="true" ht="15" r="37">
      <c r="A37" s="3" t="str">
        <v>■ 验收标准（做完自查）</v>
      </c>
    </row>
    <row customHeight="true" ht="15" r="38">
      <c r="A38" s="2" t="s">
        <v>2</v>
      </c>
    </row>
    <row customHeight="true" ht="15" r="39">
      <c r="A39" s="2" t="s">
        <v>12</v>
      </c>
    </row>
    <row customHeight="true" ht="15" r="40">
      <c r="A40" s="2" t="s">
        <v>8</v>
      </c>
    </row>
    <row customHeight="true" ht="15" r="41">
      <c r="A41" s="2" t="s">
        <v>23</v>
      </c>
    </row>
    <row customHeight="true" ht="15" r="42">
      <c r="A42" s="2" t="s">
        <v>18</v>
      </c>
    </row>
    <row customHeight="true" ht="15" r="43">
      <c r="A43" s="2"/>
    </row>
    <row customHeight="true" ht="17" r="44">
      <c r="A44" s="3" t="s">
        <v>27</v>
      </c>
    </row>
    <row customHeight="true" ht="15" r="45">
      <c r="A45" s="1" t="s">
        <v>5</v>
      </c>
    </row>
    <row customHeight="true" ht="15" r="46">
      <c r="A46" s="1" t="s">
        <v>3</v>
      </c>
    </row>
    <row customHeight="true" ht="15" r="47">
      <c r="A47" s="1" t="s">
        <v>13</v>
      </c>
    </row>
    <row customHeight="true" ht="15" r="48">
      <c r="A48" s="1" t="str">
        <v>风险标签：出资与注册资本不符</v>
      </c>
    </row>
    <row customHeight="true" ht="15" r="49">
      <c r="A49" s="1" t="str">
        <v>规则类型：法定强制　｜　触发时点：事前拦截　｜　处置级别：硬阻断</v>
      </c>
    </row>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printOptions gridLinesSet="true"/>
  <pageMargins bottom="1" footer="0.511811023622047" header="0.511811023622047" left="0.75" right="0.75" top="1"/>
  <pageSetup cellComments="none" copies="1" horizontalDpi="300" orientation="portrait" pageOrder="downThenOver" paperSize="9" scale="100" verticalDpi="300"/>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ColWidth="12" defaultRowHeight="18"/>
  <cols>
    <col collapsed="false" customWidth="true" hidden="false" max="1" min="1" style="0" width="10"/>
    <col collapsed="false" customWidth="true" hidden="false" max="2" min="2" style="0" width="14"/>
    <col collapsed="false" customWidth="true" hidden="false" max="3" min="3" style="0" width="34"/>
    <col collapsed="false" customWidth="true" hidden="false" max="4" min="4" style="0" width="26"/>
    <col collapsed="false" customWidth="true" hidden="false" max="5" min="5" style="0" width="40"/>
    <col collapsed="false" customWidth="true" hidden="false" max="6" min="6" style="0" width="18"/>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8"/>
    <col collapsed="false" customWidth="true" hidden="false" max="11" min="11" style="0" width="8"/>
    <col collapsed="false" customWidth="true" hidden="false" max="12" min="12" style="0" width="52"/>
    <col collapsed="false" customWidth="true" hidden="false" max="13" min="13" style="0" width="8"/>
    <col collapsed="false" customWidth="true" hidden="false" max="14" min="14" style="0" width="8"/>
    <col collapsed="false" customWidth="true" hidden="false" max="15" min="15" style="0" width="8"/>
    <col collapsed="false" customWidth="true" hidden="false" max="16" min="16" style="0" width="8"/>
    <col collapsed="false" customWidth="true" hidden="false" max="17" min="17" style="0" width="8"/>
    <col collapsed="false" customWidth="true" hidden="false" max="18" min="18" style="0" width="8"/>
    <col collapsed="false" customWidth="true" hidden="false" max="19" min="19" style="0" width="8"/>
    <col collapsed="false" customWidth="true" hidden="false" max="20" min="20" style="0" width="8"/>
  </cols>
  <sheetData>
    <row customHeight="true" ht="30" r="1">
      <c r="A1" s="16" t="s">
        <v>91</v>
      </c>
      <c r="B1" s="16" t="str">
        <v>分类</v>
      </c>
      <c r="C1" s="16" t="str">
        <v>法条锚点</v>
      </c>
      <c r="D1" s="16" t="str">
        <v>字段</v>
      </c>
      <c r="E1" s="16" t="str">
        <v>判定逻辑</v>
      </c>
      <c r="F1" s="16" t="str">
        <v>风险标签</v>
      </c>
      <c r="G1" s="16" t="str">
        <v>规则类型</v>
      </c>
      <c r="H1" s="16" t="str">
        <v>触发时点</v>
      </c>
      <c r="I1" s="16" t="str">
        <v>处置级别</v>
      </c>
      <c r="J1" s="16" t="str">
        <v>状态</v>
      </c>
      <c r="K1" s="16" t="str">
        <v>负责人</v>
      </c>
      <c r="L1" s="16" t="s">
        <v>92</v>
      </c>
    </row>
    <row customHeight="true" ht="30" r="2">
      <c r="A2" s="17" t="str">
        <v>示例</v>
      </c>
      <c r="B2" s="17" t="s">
        <v>106</v>
      </c>
      <c r="C2" s="17" t="s">
        <v>57</v>
      </c>
      <c r="D2" s="17" t="s">
        <v>55</v>
      </c>
      <c r="E2" s="18" t="s">
        <v>58</v>
      </c>
      <c r="F2" s="17" t="str">
        <v>出资与注册资本不符</v>
      </c>
      <c r="G2" s="17" t="str">
        <v>法定强制</v>
      </c>
      <c r="H2" s="17" t="str">
        <v>事前拦截</v>
      </c>
      <c r="I2" s="17" t="str">
        <v>硬阻断</v>
      </c>
      <c r="J2" s="17" t="str">
        <v>已核</v>
      </c>
      <c r="K2" s="18" t="str">
        <v>B</v>
      </c>
      <c r="L2" s="17" t="s">
        <v>107</v>
      </c>
    </row>
    <row customHeight="true" ht="30" r="3">
      <c r="A3" s="13" t="str">
        <v>R-SM-01</v>
      </c>
      <c r="B3" s="8" t="str">
        <v>实名与身份</v>
      </c>
      <c r="C3" s="11" t="s">
        <v>53</v>
      </c>
      <c r="D3" s="11" t="s">
        <v>52</v>
      </c>
      <c r="E3" s="11" t="s">
        <v>54</v>
      </c>
      <c r="F3" s="11" t="str">
        <v>实名核验不通过</v>
      </c>
      <c r="G3" s="11" t="str">
        <v>法定强制</v>
      </c>
      <c r="H3" s="11" t="str">
        <v>事前拦截</v>
      </c>
      <c r="I3" s="11" t="str">
        <v>硬阻断</v>
      </c>
      <c r="J3" s="11" t="str">
        <v>已核</v>
      </c>
      <c r="K3" s="12" t="str">
        <v>B</v>
      </c>
      <c r="L3" s="11" t="s">
        <v>51</v>
      </c>
    </row>
    <row customHeight="true" ht="30" r="4">
      <c r="A4" s="13" t="str">
        <v>R-SM-02</v>
      </c>
      <c r="B4" s="8" t="str">
        <v>实名与身份</v>
      </c>
      <c r="C4" s="11" t="s">
        <v>73</v>
      </c>
      <c r="D4" s="11" t="s">
        <v>75</v>
      </c>
      <c r="E4" s="15" t="s">
        <v>74</v>
      </c>
      <c r="F4" s="11" t="str">
        <v>股东实名核验不通过</v>
      </c>
      <c r="G4" s="11" t="str">
        <v>法定强制</v>
      </c>
      <c r="H4" s="11" t="str">
        <v>事前拦截</v>
      </c>
      <c r="I4" s="11" t="str">
        <v>硬阻断</v>
      </c>
      <c r="J4" s="11" t="str">
        <v>已核</v>
      </c>
      <c r="K4" s="12" t="str">
        <v>B</v>
      </c>
      <c r="L4" s="11" t="s">
        <v>76</v>
      </c>
    </row>
    <row customHeight="true" ht="30" r="5">
      <c r="A5" s="9" t="str">
        <v>R-SM-03</v>
      </c>
      <c r="B5" s="8" t="str">
        <v>实名与身份</v>
      </c>
      <c r="C5" s="10" t="str">
        <v>《经营主体登记申请及代理行为管理办法》第13条</v>
      </c>
      <c r="D5" s="6" t="s">
        <v>154</v>
      </c>
      <c r="E5" s="6" t="s">
        <v>153</v>
      </c>
      <c r="F5" s="6" t="str">
        <v>代理人未备案</v>
      </c>
      <c r="G5" s="6" t="str">
        <v>法定强制</v>
      </c>
      <c r="H5" s="6" t="str">
        <v>事前拦截</v>
      </c>
      <c r="I5" s="6" t="str">
        <v>硬阻断</v>
      </c>
      <c r="J5" s="6" t="str">
        <v>已核</v>
      </c>
      <c r="K5" s="7" t="str">
        <v>B</v>
      </c>
      <c r="L5" s="7" t="s">
        <v>155</v>
      </c>
    </row>
    <row customHeight="true" ht="30" r="6">
      <c r="A6" s="9" t="str">
        <v>R-SM-04</v>
      </c>
      <c r="B6" s="8" t="str">
        <v>实名与身份</v>
      </c>
      <c r="C6" s="10" t="str">
        <v>《经营主体登记申请及代理行为管理办法》第12条</v>
      </c>
      <c r="D6" s="6" t="s">
        <v>31</v>
      </c>
      <c r="E6" s="6" t="s">
        <v>33</v>
      </c>
      <c r="F6" s="6" t="str">
        <v>代理人兼任联络员</v>
      </c>
      <c r="G6" s="6" t="str">
        <v>法定强制</v>
      </c>
      <c r="H6" s="6" t="str">
        <v>事中</v>
      </c>
      <c r="I6" s="6" t="str">
        <v>人工复核</v>
      </c>
      <c r="J6" s="6" t="str">
        <v>已核</v>
      </c>
      <c r="K6" s="7" t="str">
        <v>A</v>
      </c>
      <c r="L6" s="6" t="s">
        <v>32</v>
      </c>
    </row>
    <row customHeight="true" ht="15" r="7">
      <c r="A7" s="9" t="str">
        <v>R-SM-05</v>
      </c>
      <c r="B7" s="8" t="str">
        <v>实名与身份</v>
      </c>
      <c r="C7" s="6" t="str">
        <v>《经营主体登记申请及代理行为管理办法》34-36条</v>
      </c>
      <c r="D7" s="6" t="s">
        <v>122</v>
      </c>
      <c r="E7" s="6" t="s">
        <v>121</v>
      </c>
      <c r="F7" s="6" t="str">
        <v>代办行为异常</v>
      </c>
      <c r="G7" s="6" t="str">
        <v>统计异常</v>
      </c>
      <c r="H7" s="6" t="str">
        <v>事后回溯</v>
      </c>
      <c r="I7" s="6" t="str">
        <v>人工复核</v>
      </c>
      <c r="J7" s="6" t="str">
        <v>已核</v>
      </c>
      <c r="K7" s="7" t="str">
        <v>A</v>
      </c>
      <c r="L7" s="6" t="str">
        <v>阈值须由数据分位数确定，不可拍脑袋；须报告稳定性</v>
      </c>
    </row>
    <row customHeight="true" ht="30" r="8">
      <c r="A8" s="9" t="str">
        <v>R-SM-06</v>
      </c>
      <c r="B8" s="8" t="str">
        <v>实名与身份</v>
      </c>
      <c r="C8" s="10" t="s">
        <v>137</v>
      </c>
      <c r="D8" s="6" t="s">
        <v>139</v>
      </c>
      <c r="E8" s="6" t="s">
        <v>138</v>
      </c>
      <c r="F8" s="6" t="str">
        <v>失信人员违规任职</v>
      </c>
      <c r="G8" s="6" t="str">
        <v>法定强制</v>
      </c>
      <c r="H8" s="6" t="str">
        <v>事前拦截</v>
      </c>
      <c r="I8" s="6" t="str">
        <v>硬阻断</v>
      </c>
      <c r="J8" s="6" t="str">
        <v>已核</v>
      </c>
      <c r="K8" s="7" t="str">
        <v>A</v>
      </c>
      <c r="L8" s="6" t="s">
        <v>140</v>
      </c>
    </row>
    <row customHeight="true" ht="30" r="9">
      <c r="A9" s="9" t="str">
        <v>R-SM-07</v>
      </c>
      <c r="B9" s="8" t="str">
        <v>实名与身份</v>
      </c>
      <c r="C9" s="7" t="str">
        <v>《经营主体登记申请及代理行为管理办法》第三十二条</v>
      </c>
      <c r="D9" s="6" t="s">
        <v>95</v>
      </c>
      <c r="E9" s="6" t="s">
        <v>93</v>
      </c>
      <c r="F9" s="6" t="str">
        <v>职业法人嫌疑</v>
      </c>
      <c r="G9" s="6" t="str">
        <v>统计异常</v>
      </c>
      <c r="H9" s="6" t="str">
        <v>事后回溯</v>
      </c>
      <c r="I9" s="6" t="str">
        <v>人工复核</v>
      </c>
      <c r="J9" s="6" t="str">
        <v>已核</v>
      </c>
      <c r="K9" s="7" t="str">
        <v>A</v>
      </c>
      <c r="L9" s="7" t="s">
        <v>94</v>
      </c>
    </row>
    <row customHeight="true" ht="30" r="10">
      <c r="A10" s="9" t="str">
        <v>R-SM-08</v>
      </c>
      <c r="B10" s="8" t="str">
        <v>实名与身份</v>
      </c>
      <c r="C10" s="7" t="str">
        <v>《经营主体登记申请及代理行为管理办法》第三十二条</v>
      </c>
      <c r="D10" s="6" t="s">
        <v>108</v>
      </c>
      <c r="E10" s="6" t="str">
        <v>（待设计：官方点名「被法人」的识别口径）</v>
      </c>
      <c r="F10" s="6" t="str">
        <v>冒名登记嫌疑</v>
      </c>
      <c r="G10" s="6" t="str">
        <v>情报线索</v>
      </c>
      <c r="H10" s="6" t="str">
        <v>事后回溯</v>
      </c>
      <c r="I10" s="6" t="str">
        <v>人工复核</v>
      </c>
      <c r="J10" s="6" t="str">
        <v>已核</v>
      </c>
      <c r="K10" s="7" t="str">
        <v>B</v>
      </c>
      <c r="L10" s="6" t="str">
        <v>官方点名的虚假登记类型之一。可参考《撤销冒名登记》相关规定确定口径</v>
      </c>
    </row>
    <row customHeight="true" ht="15" r="11">
      <c r="A11" s="13" t="str">
        <v>R-CZ-01</v>
      </c>
      <c r="B11" s="8" t="str">
        <v>出资与注册资本</v>
      </c>
      <c r="C11" s="11" t="s">
        <v>57</v>
      </c>
      <c r="D11" s="11" t="s">
        <v>55</v>
      </c>
      <c r="E11" s="12" t="s">
        <v>58</v>
      </c>
      <c r="F11" s="11" t="str">
        <v>出资与注册资本不符</v>
      </c>
      <c r="G11" s="11" t="str">
        <v>法定强制</v>
      </c>
      <c r="H11" s="11" t="str">
        <v>事前拦截</v>
      </c>
      <c r="I11" s="11" t="str">
        <v>硬阻断</v>
      </c>
      <c r="J11" s="11" t="str">
        <v>已核</v>
      </c>
      <c r="K11" s="12" t="str">
        <v>B</v>
      </c>
      <c r="L11" s="11" t="s">
        <v>56</v>
      </c>
    </row>
    <row customHeight="true" ht="30" r="12">
      <c r="A12" s="13" t="str">
        <v>R-CZ-02</v>
      </c>
      <c r="B12" s="8" t="str">
        <v>出资与注册资本</v>
      </c>
      <c r="C12" s="11" t="s">
        <v>57</v>
      </c>
      <c r="D12" s="11" t="s">
        <v>78</v>
      </c>
      <c r="E12" s="11" t="s">
        <v>77</v>
      </c>
      <c r="F12" s="11" t="str">
        <v>出资期限超五年</v>
      </c>
      <c r="G12" s="11" t="str">
        <v>法定强制</v>
      </c>
      <c r="H12" s="11" t="str">
        <v>事前拦截</v>
      </c>
      <c r="I12" s="11" t="str">
        <v>硬阻断</v>
      </c>
      <c r="J12" s="11" t="str">
        <v>已核</v>
      </c>
      <c r="K12" s="12" t="str">
        <v>B</v>
      </c>
      <c r="L12" s="11" t="s">
        <v>79</v>
      </c>
    </row>
    <row customHeight="true" ht="15" r="13">
      <c r="A13" s="13" t="str">
        <v>R-CZ-03</v>
      </c>
      <c r="B13" s="8" t="str">
        <v>出资与注册资本</v>
      </c>
      <c r="C13" s="11" t="s">
        <v>36</v>
      </c>
      <c r="D13" s="11" t="s">
        <v>157</v>
      </c>
      <c r="E13" s="11" t="s">
        <v>158</v>
      </c>
      <c r="F13" s="11" t="str">
        <v>股份公司资本不符</v>
      </c>
      <c r="G13" s="11" t="str">
        <v>法定强制</v>
      </c>
      <c r="H13" s="11" t="str">
        <v>事前拦截</v>
      </c>
      <c r="I13" s="11" t="str">
        <v>硬阻断</v>
      </c>
      <c r="J13" s="11" t="str">
        <v>已核</v>
      </c>
      <c r="K13" s="12" t="str">
        <v>B</v>
      </c>
      <c r="L13" s="11" t="s">
        <v>156</v>
      </c>
    </row>
    <row customHeight="true" ht="30" r="14">
      <c r="A14" s="13" t="str">
        <v>R-CZ-04</v>
      </c>
      <c r="B14" s="8" t="str">
        <v>出资与注册资本</v>
      </c>
      <c r="C14" s="11" t="s">
        <v>36</v>
      </c>
      <c r="D14" s="11" t="s">
        <v>34</v>
      </c>
      <c r="E14" s="11" t="s">
        <v>37</v>
      </c>
      <c r="F14" s="11" t="str">
        <v>违规对外募集</v>
      </c>
      <c r="G14" s="11" t="str">
        <v>法定强制</v>
      </c>
      <c r="H14" s="11" t="str">
        <v>事中</v>
      </c>
      <c r="I14" s="11" t="str">
        <v>人工复核</v>
      </c>
      <c r="J14" s="11" t="str">
        <v>已核</v>
      </c>
      <c r="K14" s="12" t="str">
        <v>B</v>
      </c>
      <c r="L14" s="11" t="s">
        <v>35</v>
      </c>
    </row>
    <row customHeight="true" ht="44" r="15">
      <c r="A15" s="13" t="str">
        <v>R-CZ-05</v>
      </c>
      <c r="B15" s="8" t="str">
        <v>出资与注册资本</v>
      </c>
      <c r="C15" s="11" t="s">
        <v>123</v>
      </c>
      <c r="D15" s="11" t="s">
        <v>125</v>
      </c>
      <c r="E15" s="11" t="s">
        <v>124</v>
      </c>
      <c r="F15" s="11" t="str">
        <v>实缴制行业未实缴</v>
      </c>
      <c r="G15" s="11" t="str">
        <v>法定强制</v>
      </c>
      <c r="H15" s="11" t="str">
        <v>事前拦截</v>
      </c>
      <c r="I15" s="11" t="str">
        <v>人工复核</v>
      </c>
      <c r="J15" s="11" t="str">
        <v>已核</v>
      </c>
      <c r="K15" s="12" t="str">
        <v>B</v>
      </c>
      <c r="L15" s="11" t="str">
        <v>实缴制名录：银行业金融机构、证券、期货、基金管理、保险、保险专业代理与经纪、直销、对外劳务合作、融资性担保、募集设立的股份公司、劳务派遣、典当行、保险资产管理、小额贷款</v>
      </c>
    </row>
    <row customHeight="true" ht="30" r="16">
      <c r="A16" s="13" t="str">
        <v>R-CZ-06</v>
      </c>
      <c r="B16" s="8" t="str">
        <v>出资与注册资本</v>
      </c>
      <c r="C16" s="11" t="s">
        <v>102</v>
      </c>
      <c r="D16" s="11" t="s">
        <v>141</v>
      </c>
      <c r="E16" s="11" t="str">
        <v>任一备案项为空</v>
      </c>
      <c r="F16" s="11" t="str">
        <v>出资备案不全</v>
      </c>
      <c r="G16" s="11" t="str">
        <v>法定强制</v>
      </c>
      <c r="H16" s="11" t="str">
        <v>事中</v>
      </c>
      <c r="I16" s="11" t="str">
        <v>仅打标</v>
      </c>
      <c r="J16" s="11" t="str">
        <v>已核</v>
      </c>
      <c r="K16" s="12" t="str">
        <v>B</v>
      </c>
      <c r="L16" s="11" t="s">
        <v>142</v>
      </c>
    </row>
    <row customHeight="true" ht="15" r="17">
      <c r="A17" s="9" t="str">
        <v>R-CZ-07</v>
      </c>
      <c r="B17" s="8" t="str">
        <v>出资与注册资本</v>
      </c>
      <c r="C17" s="10" t="str">
        <v>《公司法》第48条</v>
      </c>
      <c r="D17" s="6" t="s">
        <v>96</v>
      </c>
      <c r="E17" s="6" t="str">
        <v>（待设计）</v>
      </c>
      <c r="F17" s="6" t="str">
        <v>非货币出资异常</v>
      </c>
      <c r="G17" s="6" t="str">
        <v>法定强制</v>
      </c>
      <c r="H17" s="6" t="str">
        <v>事中</v>
      </c>
      <c r="I17" s="6" t="str">
        <v>人工复核</v>
      </c>
      <c r="J17" s="6" t="str">
        <v>已核</v>
      </c>
      <c r="K17" s="7" t="str">
        <v>B</v>
      </c>
      <c r="L17" s="6" t="str">
        <v>须核实非货币出资的评估作价规定</v>
      </c>
    </row>
    <row customHeight="true" ht="30" r="18">
      <c r="A18" s="9" t="str">
        <v>R-CZ-08</v>
      </c>
      <c r="B18" s="8" t="str">
        <v>出资与注册资本</v>
      </c>
      <c r="C18" s="6" t="str">
        <v>无直接法条（统计基线）</v>
      </c>
      <c r="D18" s="6" t="s">
        <v>109</v>
      </c>
      <c r="E18" s="6" t="s">
        <v>110</v>
      </c>
      <c r="F18" s="6" t="str">
        <v>注册资本畸高</v>
      </c>
      <c r="G18" s="6" t="str">
        <v>统计异常</v>
      </c>
      <c r="H18" s="6" t="str">
        <v>事后回溯</v>
      </c>
      <c r="I18" s="6" t="str">
        <v>仅打标</v>
      </c>
      <c r="J18" s="6" t="str">
        <v>待填</v>
      </c>
      <c r="K18" s="7" t="str">
        <v>A</v>
      </c>
      <c r="L18" s="6" t="str">
        <v>★这是统计规则不是法定，绝不能设阻断。认缴制下高注册资本本身合法</v>
      </c>
    </row>
    <row customHeight="true" ht="15" r="19">
      <c r="A19" s="13" t="str">
        <v>R-MC-01</v>
      </c>
      <c r="B19" s="8" t="str">
        <v>名称</v>
      </c>
      <c r="C19" s="11" t="s">
        <v>61</v>
      </c>
      <c r="D19" s="11" t="str">
        <v>名称</v>
      </c>
      <c r="E19" s="11" t="s">
        <v>60</v>
      </c>
      <c r="F19" s="11" t="str">
        <v>名称缺失</v>
      </c>
      <c r="G19" s="11" t="str">
        <v>法定强制</v>
      </c>
      <c r="H19" s="11" t="str">
        <v>事前拦截</v>
      </c>
      <c r="I19" s="11" t="str">
        <v>硬阻断</v>
      </c>
      <c r="J19" s="11" t="str">
        <v>已核</v>
      </c>
      <c r="K19" s="12" t="str">
        <v>B</v>
      </c>
      <c r="L19" s="11" t="s">
        <v>59</v>
      </c>
    </row>
    <row customHeight="true" ht="30" r="20">
      <c r="A20" s="9" t="str">
        <v>R-MC-02</v>
      </c>
      <c r="B20" s="8" t="str">
        <v>名称</v>
      </c>
      <c r="C20" s="6" t="s">
        <v>82</v>
      </c>
      <c r="D20" s="6" t="s">
        <v>81</v>
      </c>
      <c r="E20" s="6" t="str">
        <v>命中禁用词表</v>
      </c>
      <c r="F20" s="6" t="str">
        <v>名称含禁限用词</v>
      </c>
      <c r="G20" s="6" t="str">
        <v>法定强制</v>
      </c>
      <c r="H20" s="6" t="str">
        <v>事前拦截</v>
      </c>
      <c r="I20" s="6" t="str">
        <v>硬阻断</v>
      </c>
      <c r="J20" s="6" t="str">
        <v>已核</v>
      </c>
      <c r="K20" s="7" t="str">
        <v>B</v>
      </c>
      <c r="L20" s="6" t="s">
        <v>80</v>
      </c>
    </row>
    <row customHeight="true" ht="15" r="21">
      <c r="A21" s="9" t="str">
        <v>R-MC-03</v>
      </c>
      <c r="B21" s="8" t="str">
        <v>名称</v>
      </c>
      <c r="C21" s="10" t="str">
        <v>《企业名称登记管理规定》第12条</v>
      </c>
      <c r="D21" s="6" t="str">
        <v>名称</v>
      </c>
      <c r="E21" s="6" t="s">
        <v>159</v>
      </c>
      <c r="F21" s="6" t="s">
        <v>160</v>
      </c>
      <c r="G21" s="6" t="str">
        <v>法定强制</v>
      </c>
      <c r="H21" s="6" t="str">
        <v>事前拦截</v>
      </c>
      <c r="I21" s="6" t="str">
        <v>人工复核</v>
      </c>
      <c r="J21" s="6" t="str">
        <v>已核</v>
      </c>
      <c r="K21" s="7" t="str">
        <v>B</v>
      </c>
      <c r="L21" s="6" t="str">
        <v>官方点名的虚假登记类型：假国企。须核实名称禁限用具体条款</v>
      </c>
    </row>
    <row customHeight="true" ht="30" r="22">
      <c r="A22" s="9" t="str">
        <v>R-MC-04</v>
      </c>
      <c r="B22" s="8" t="str">
        <v>名称</v>
      </c>
      <c r="C22" s="10" t="str">
        <v>《企业名称登记管理规定实施办法》第19条</v>
      </c>
      <c r="D22" s="6" t="s">
        <v>38</v>
      </c>
      <c r="E22" s="6" t="s">
        <v>39</v>
      </c>
      <c r="F22" s="6" t="str">
        <v>名称近似冲突</v>
      </c>
      <c r="G22" s="6" t="str">
        <v>规范性</v>
      </c>
      <c r="H22" s="6" t="str">
        <v>事前拦截</v>
      </c>
      <c r="I22" s="6" t="str">
        <v>人工复核</v>
      </c>
      <c r="J22" s="6" t="str">
        <v>已核</v>
      </c>
      <c r="K22" s="7" t="str">
        <v>B</v>
      </c>
      <c r="L22" s="7"/>
    </row>
    <row customHeight="true" ht="15" r="23">
      <c r="A23" s="9" t="str">
        <v>R-MC-05</v>
      </c>
      <c r="B23" s="8" t="str">
        <v>名称</v>
      </c>
      <c r="C23" s="7" t="str">
        <v>《企业名称登记管理规定》第11条</v>
      </c>
      <c r="D23" s="6" t="str">
        <v>名称</v>
      </c>
      <c r="E23" s="6" t="str">
        <v>名称含事业单位特征词</v>
      </c>
      <c r="F23" s="6" t="str">
        <v>假事业单位嫌疑</v>
      </c>
      <c r="G23" s="6" t="str">
        <v>情报线索</v>
      </c>
      <c r="H23" s="6" t="str">
        <v>事后回溯</v>
      </c>
      <c r="I23" s="6" t="str">
        <v>人工复核</v>
      </c>
      <c r="J23" s="6" t="str">
        <v>已核</v>
      </c>
      <c r="K23" s="7" t="str">
        <v>B</v>
      </c>
      <c r="L23" s="6" t="str">
        <v>官方点名类型</v>
      </c>
    </row>
    <row customHeight="true" ht="15" r="24">
      <c r="A24" s="9" t="str">
        <v>R-MC-06</v>
      </c>
      <c r="B24" s="8" t="str">
        <v>名称</v>
      </c>
      <c r="C24" s="7" t="str">
        <v>《企业名称登记管理规定》第16条</v>
      </c>
      <c r="D24" s="6" t="str">
        <v>名称</v>
      </c>
      <c r="E24" s="6" t="s">
        <v>143</v>
      </c>
      <c r="F24" s="6" t="str">
        <v>国字头协会学会嫌疑</v>
      </c>
      <c r="G24" s="6" t="str">
        <v>情报线索</v>
      </c>
      <c r="H24" s="6" t="str">
        <v>事后回溯</v>
      </c>
      <c r="I24" s="6" t="str">
        <v>人工复核</v>
      </c>
      <c r="J24" s="6" t="str">
        <v>已核</v>
      </c>
      <c r="K24" s="7" t="str">
        <v>B</v>
      </c>
      <c r="L24" s="6" t="str">
        <v>官方点名类型</v>
      </c>
    </row>
    <row customHeight="true" ht="44" r="25">
      <c r="A25" s="9" t="str">
        <v>R-MC-07</v>
      </c>
      <c r="B25" s="8" t="str">
        <v>名称</v>
      </c>
      <c r="C25" s="10" t="str">
        <v>《组织机构统一社会信用代码管理办法》第6条</v>
      </c>
      <c r="D25" s="6" t="s">
        <v>111</v>
      </c>
      <c r="E25" s="6" t="str">
        <v>一致性校验服务返回不一致</v>
      </c>
      <c r="F25" s="6" t="str">
        <v>名称代码不一致</v>
      </c>
      <c r="G25" s="6" t="str">
        <v>规范性</v>
      </c>
      <c r="H25" s="6" t="str">
        <v>事中</v>
      </c>
      <c r="I25" s="6" t="str">
        <v>人工复核</v>
      </c>
      <c r="J25" s="6" t="str">
        <v>已核</v>
      </c>
      <c r="K25" s="7" t="str">
        <v>A</v>
      </c>
      <c r="L25" s="6" t="s">
        <v>112</v>
      </c>
    </row>
    <row customHeight="true" ht="30" r="26">
      <c r="A26" s="13" t="str">
        <v>R-JY-01</v>
      </c>
      <c r="B26" s="8" t="str">
        <v>经营范围与许可</v>
      </c>
      <c r="C26" s="11" t="s">
        <v>84</v>
      </c>
      <c r="D26" s="11" t="s">
        <v>127</v>
      </c>
      <c r="E26" s="12" t="s">
        <v>128</v>
      </c>
      <c r="F26" s="11" t="str">
        <v>许可项无批准文件</v>
      </c>
      <c r="G26" s="11" t="str">
        <v>法定强制</v>
      </c>
      <c r="H26" s="11" t="str">
        <v>事前拦截</v>
      </c>
      <c r="I26" s="11" t="str">
        <v>硬阻断</v>
      </c>
      <c r="J26" s="11" t="str">
        <v>已核</v>
      </c>
      <c r="K26" s="12" t="str">
        <v>B</v>
      </c>
      <c r="L26" s="11" t="s">
        <v>126</v>
      </c>
    </row>
    <row customHeight="true" ht="15" r="27">
      <c r="A27" s="13" t="str">
        <v>R-JY-02</v>
      </c>
      <c r="B27" s="8" t="str">
        <v>经营范围与许可</v>
      </c>
      <c r="C27" s="11" t="s">
        <v>84</v>
      </c>
      <c r="D27" s="11" t="s">
        <v>83</v>
      </c>
      <c r="E27" s="11" t="s">
        <v>85</v>
      </c>
      <c r="F27" s="11" t="str">
        <v>许可缺失</v>
      </c>
      <c r="G27" s="11" t="str">
        <v>法定强制</v>
      </c>
      <c r="H27" s="11" t="str">
        <v>事中</v>
      </c>
      <c r="I27" s="11" t="str">
        <v>人工复核</v>
      </c>
      <c r="J27" s="11" t="str">
        <v>已核</v>
      </c>
      <c r="K27" s="12" t="str">
        <v>A</v>
      </c>
      <c r="L27" s="11" t="s">
        <v>86</v>
      </c>
    </row>
    <row customHeight="true" ht="30" r="28">
      <c r="A28" s="13" t="str">
        <v>R-JY-03</v>
      </c>
      <c r="B28" s="8" t="str">
        <v>经营范围与许可</v>
      </c>
      <c r="C28" s="11" t="s">
        <v>98</v>
      </c>
      <c r="D28" s="11" t="str">
        <v>经营范围条目</v>
      </c>
      <c r="E28" s="11" t="s">
        <v>99</v>
      </c>
      <c r="F28" s="11" t="str">
        <v>表述不规范</v>
      </c>
      <c r="G28" s="11" t="str">
        <v>规范性</v>
      </c>
      <c r="H28" s="11" t="str">
        <v>事中</v>
      </c>
      <c r="I28" s="11" t="str">
        <v>仅打标</v>
      </c>
      <c r="J28" s="11" t="str">
        <v>已核</v>
      </c>
      <c r="K28" s="12" t="str">
        <v>A</v>
      </c>
      <c r="L28" s="11" t="s">
        <v>97</v>
      </c>
    </row>
    <row customHeight="true" ht="30" r="29">
      <c r="A29" s="9" t="str">
        <v>R-JY-04</v>
      </c>
      <c r="B29" s="8" t="str">
        <v>经营范围与许可</v>
      </c>
      <c r="C29" s="10" t="s">
        <v>41</v>
      </c>
      <c r="D29" s="10" t="s">
        <v>42</v>
      </c>
      <c r="E29" s="6" t="s">
        <v>43</v>
      </c>
      <c r="F29" s="6" t="str">
        <v>特种设备无证经营</v>
      </c>
      <c r="G29" s="6" t="str">
        <v>法定强制</v>
      </c>
      <c r="H29" s="6" t="str">
        <v>事中</v>
      </c>
      <c r="I29" s="6" t="str">
        <v>硬阻断</v>
      </c>
      <c r="J29" s="6" t="str">
        <v>已核</v>
      </c>
      <c r="K29" s="7" t="str">
        <v>A</v>
      </c>
      <c r="L29" s="6" t="s">
        <v>40</v>
      </c>
    </row>
    <row customHeight="true" ht="44" r="30">
      <c r="A30" s="9" t="str">
        <v>R-JY-05</v>
      </c>
      <c r="B30" s="8" t="str">
        <v>经营范围与许可</v>
      </c>
      <c r="C30" s="6" t="s">
        <v>63</v>
      </c>
      <c r="D30" s="10" t="s">
        <v>62</v>
      </c>
      <c r="E30" s="10" t="str">
        <v>行业码 IN 特种设备检验检测码表 AND NOT EXISTS(核准证)</v>
      </c>
      <c r="F30" s="6" t="str">
        <v>检验机构未核准</v>
      </c>
      <c r="G30" s="6" t="str">
        <v>法定强制</v>
      </c>
      <c r="H30" s="6" t="str">
        <v>事中</v>
      </c>
      <c r="I30" s="6" t="str">
        <v>硬阻断</v>
      </c>
      <c r="J30" s="6" t="str">
        <v>已核</v>
      </c>
      <c r="K30" s="7" t="str">
        <v>A</v>
      </c>
      <c r="L30" s="6" t="str">
        <v>微观专题一</v>
      </c>
    </row>
    <row customHeight="true" ht="30" r="31">
      <c r="A31" s="9" t="str">
        <v>R-JY-06</v>
      </c>
      <c r="B31" s="8" t="str">
        <v>经营范围与许可</v>
      </c>
      <c r="C31" s="10" t="s">
        <v>144</v>
      </c>
      <c r="D31" s="10" t="s">
        <v>145</v>
      </c>
      <c r="E31" s="10" t="str">
        <v>许可证有效期 &lt; 当前日期 AND 经营范围包含许可经营项目</v>
      </c>
      <c r="F31" s="6" t="str">
        <v>许可过期无证经营</v>
      </c>
      <c r="G31" s="6" t="str">
        <v>法定强制</v>
      </c>
      <c r="H31" s="6" t="str">
        <v>事后回溯</v>
      </c>
      <c r="I31" s="6" t="str">
        <v>硬阻断</v>
      </c>
      <c r="J31" s="6" t="str">
        <v>已核</v>
      </c>
      <c r="K31" s="7" t="str">
        <v>A</v>
      </c>
      <c r="L31" s="7"/>
    </row>
    <row customHeight="true" ht="30" r="32">
      <c r="A32" s="9" t="str">
        <v>R-JY-07</v>
      </c>
      <c r="B32" s="8" t="str">
        <v>经营范围与许可</v>
      </c>
      <c r="C32" s="6" t="str">
        <v>无（专题标记，非违规）</v>
      </c>
      <c r="D32" s="6" t="str">
        <v>经营范围条目</v>
      </c>
      <c r="E32" s="10" t="str">
        <v>经营范围关键词 CONTAINS '网络直播' OR 经营范围关键词 CONTAINS '网络文化经营'</v>
      </c>
      <c r="F32" s="6" t="str">
        <v>直播电商专题标记</v>
      </c>
      <c r="G32" s="6" t="str">
        <v>规范性</v>
      </c>
      <c r="H32" s="6" t="str">
        <v>事中</v>
      </c>
      <c r="I32" s="6" t="str">
        <v>仅打标</v>
      </c>
      <c r="J32" s="6" t="str">
        <v>已核</v>
      </c>
      <c r="K32" s="7" t="str">
        <v>A</v>
      </c>
      <c r="L32" s="6" t="s">
        <v>161</v>
      </c>
    </row>
    <row customHeight="true" ht="44" r="33">
      <c r="A33" s="9" t="str">
        <v>R-JY-08</v>
      </c>
      <c r="B33" s="8" t="str">
        <v>经营范围与许可</v>
      </c>
      <c r="C33" s="6" t="str">
        <v>《市场监管总局办公厅关于提升信息化水平统一规范市场主体登记注册工作的通知》（市监注〔2020〕85号）</v>
      </c>
      <c r="D33" s="10" t="str">
        <v>经营范围行业码，许可审批部门，双告知推送状态</v>
      </c>
      <c r="E33" s="10" t="str">
        <v>经营范围行业码 IN 后置许可目录 AND 双告知推送状态 = ‘未推送’</v>
      </c>
      <c r="F33" s="6" t="str">
        <v>双告知未推送</v>
      </c>
      <c r="G33" s="6" t="str">
        <v>规范性</v>
      </c>
      <c r="H33" s="6" t="str">
        <v>事中</v>
      </c>
      <c r="I33" s="6" t="str">
        <v>仅打标</v>
      </c>
      <c r="J33" s="6" t="str">
        <v>已核</v>
      </c>
      <c r="K33" s="7" t="str">
        <v>C</v>
      </c>
      <c r="L33" s="6" t="str">
        <v>通知要求：实现「双告知」的自动化、智能化推送。挂载对象是业务单据不是企业</v>
      </c>
    </row>
    <row customHeight="true" ht="15" r="34">
      <c r="A34" s="13" t="str">
        <v>R-ZS-01</v>
      </c>
      <c r="B34" s="8" t="str">
        <v>住所</v>
      </c>
      <c r="C34" s="11" t="s">
        <v>61</v>
      </c>
      <c r="D34" s="11" t="str">
        <v>住所</v>
      </c>
      <c r="E34" s="11" t="s">
        <v>113</v>
      </c>
      <c r="F34" s="11" t="str">
        <v>住所缺失</v>
      </c>
      <c r="G34" s="11" t="str">
        <v>法定强制</v>
      </c>
      <c r="H34" s="11" t="str">
        <v>事前拦截</v>
      </c>
      <c r="I34" s="11" t="str">
        <v>硬阻断</v>
      </c>
      <c r="J34" s="11" t="str">
        <v>已核</v>
      </c>
      <c r="K34" s="12" t="str">
        <v>B</v>
      </c>
      <c r="L34" s="19" t="s">
        <v>114</v>
      </c>
    </row>
    <row customHeight="true" ht="30" r="35">
      <c r="A35" s="9" t="str">
        <v>R-ZS-02</v>
      </c>
      <c r="B35" s="8" t="str">
        <v>住所</v>
      </c>
      <c r="C35" s="6" t="str">
        <v>《市场主体登记管理条例》第17条、第40条（虚假登记推定）</v>
      </c>
      <c r="D35" s="6" t="s">
        <v>64</v>
      </c>
      <c r="E35" s="6" t="s">
        <v>65</v>
      </c>
      <c r="F35" s="6" t="str">
        <v>住所高度聚集</v>
      </c>
      <c r="G35" s="6" t="str">
        <v>统计异常</v>
      </c>
      <c r="H35" s="6" t="str">
        <v>事后回溯</v>
      </c>
      <c r="I35" s="6" t="str">
        <v>人工复核</v>
      </c>
      <c r="J35" s="6" t="str">
        <v>已核</v>
      </c>
      <c r="K35" s="7" t="str">
        <v>A</v>
      </c>
      <c r="L35" s="7" t="s">
        <v>66</v>
      </c>
    </row>
    <row customHeight="true" ht="15" r="36">
      <c r="A36" s="9" t="str">
        <v>R-ZS-03</v>
      </c>
      <c r="B36" s="8" t="str">
        <v>住所</v>
      </c>
      <c r="C36" s="6" t="str">
        <v>《市场主体登记管理条例》第17条、第40条（虚假登记推定）</v>
      </c>
      <c r="D36" s="6" t="s">
        <v>88</v>
      </c>
      <c r="E36" s="7" t="s">
        <v>87</v>
      </c>
      <c r="F36" s="6" t="str">
        <v>住所批量注册</v>
      </c>
      <c r="G36" s="6" t="str">
        <v>统计异常</v>
      </c>
      <c r="H36" s="6" t="str">
        <v>事后回溯</v>
      </c>
      <c r="I36" s="6" t="str">
        <v>人工复核</v>
      </c>
      <c r="J36" s="6" t="str">
        <v>已核</v>
      </c>
      <c r="K36" s="7" t="str">
        <v>A</v>
      </c>
      <c r="L36" s="6" t="str">
        <v>阈值由分位数确定</v>
      </c>
    </row>
    <row customHeight="true" ht="30" r="37">
      <c r="A37" s="9" t="str">
        <v>R-ZS-04</v>
      </c>
      <c r="B37" s="8" t="str">
        <v>住所</v>
      </c>
      <c r="C37" s="6" t="str">
        <v>《市场主体登记管理条例》第11条、第17条</v>
      </c>
      <c r="D37" s="6" t="str">
        <v>住所文本</v>
      </c>
      <c r="E37" s="6" t="s">
        <v>162</v>
      </c>
      <c r="F37" s="6" t="str">
        <v>地址不可解析</v>
      </c>
      <c r="G37" s="6" t="str">
        <v>规范性</v>
      </c>
      <c r="H37" s="6" t="str">
        <v>事中</v>
      </c>
      <c r="I37" s="6" t="str">
        <v>仅打标</v>
      </c>
      <c r="J37" s="6" t="str">
        <v>已核</v>
      </c>
      <c r="K37" s="7" t="str">
        <v>B</v>
      </c>
      <c r="L37" s="6" t="str">
        <v>★这条同时是数据质量指标，挂载对象是业务单据。地址归一准确率须单独评测</v>
      </c>
    </row>
    <row customHeight="true" ht="30" r="38">
      <c r="A38" s="9" t="str">
        <v>R-ZS-05</v>
      </c>
      <c r="B38" s="8" t="str">
        <v>住所</v>
      </c>
      <c r="C38" s="6" t="str">
        <v>（属地政策，各省不同）</v>
      </c>
      <c r="D38" s="6" t="s">
        <v>46</v>
      </c>
      <c r="E38" s="6" t="s">
        <v>45</v>
      </c>
      <c r="F38" s="6" t="str">
        <v>集群注册未备案</v>
      </c>
      <c r="G38" s="6" t="str">
        <v>规范性</v>
      </c>
      <c r="H38" s="6" t="str">
        <v>事后回溯</v>
      </c>
      <c r="I38" s="6" t="str">
        <v>仅打标</v>
      </c>
      <c r="J38" s="6" t="str">
        <v>已核</v>
      </c>
      <c r="K38" s="7" t="str">
        <v>B</v>
      </c>
      <c r="L38" s="6" t="s">
        <v>44</v>
      </c>
    </row>
    <row customHeight="true" ht="30" r="39">
      <c r="A39" s="13" t="str">
        <v>R-BG-01</v>
      </c>
      <c r="B39" s="8" t="str">
        <v>变更与备案</v>
      </c>
      <c r="C39" s="11" t="s">
        <v>129</v>
      </c>
      <c r="D39" s="11" t="s">
        <v>131</v>
      </c>
      <c r="E39" s="11" t="s">
        <v>130</v>
      </c>
      <c r="F39" s="11" t="str">
        <v>变更登记逾期</v>
      </c>
      <c r="G39" s="11" t="str">
        <v>法定强制</v>
      </c>
      <c r="H39" s="11" t="str">
        <v>事后回溯</v>
      </c>
      <c r="I39" s="11" t="str">
        <v>仅打标</v>
      </c>
      <c r="J39" s="11" t="str">
        <v>已核</v>
      </c>
      <c r="K39" s="12" t="str">
        <v>B</v>
      </c>
      <c r="L39" s="11" t="s">
        <v>132</v>
      </c>
    </row>
    <row customHeight="true" ht="30" r="40">
      <c r="A40" s="13" t="str">
        <v>R-BG-02</v>
      </c>
      <c r="B40" s="8" t="str">
        <v>变更与备案</v>
      </c>
      <c r="C40" s="11" t="s">
        <v>129</v>
      </c>
      <c r="D40" s="11" t="s">
        <v>148</v>
      </c>
      <c r="E40" s="11" t="s">
        <v>146</v>
      </c>
      <c r="F40" s="11" t="str">
        <v>批准文件过期</v>
      </c>
      <c r="G40" s="11" t="str">
        <v>法定强制</v>
      </c>
      <c r="H40" s="11" t="str">
        <v>事中</v>
      </c>
      <c r="I40" s="11" t="str">
        <v>人工复核</v>
      </c>
      <c r="J40" s="11" t="str">
        <v>已核</v>
      </c>
      <c r="K40" s="12" t="str">
        <v>B</v>
      </c>
      <c r="L40" s="11" t="s">
        <v>147</v>
      </c>
    </row>
    <row customHeight="true" ht="30" r="41">
      <c r="A41" s="13" t="str">
        <v>R-BG-03</v>
      </c>
      <c r="B41" s="8" t="str">
        <v>变更与备案</v>
      </c>
      <c r="C41" s="11" t="s">
        <v>102</v>
      </c>
      <c r="D41" s="11" t="s">
        <v>101</v>
      </c>
      <c r="E41" s="11" t="str">
        <v>任一法定备案事项缺失</v>
      </c>
      <c r="F41" s="11" t="str">
        <v>备案事项不全</v>
      </c>
      <c r="G41" s="11" t="str">
        <v>法定强制</v>
      </c>
      <c r="H41" s="11" t="str">
        <v>事中</v>
      </c>
      <c r="I41" s="11" t="str">
        <v>仅打标</v>
      </c>
      <c r="J41" s="11" t="str">
        <v>已核</v>
      </c>
      <c r="K41" s="12" t="str">
        <v>B</v>
      </c>
      <c r="L41" s="11" t="s">
        <v>100</v>
      </c>
    </row>
    <row customHeight="true" ht="30" r="42">
      <c r="A42" s="13" t="str">
        <v>R-BG-04</v>
      </c>
      <c r="B42" s="8" t="str">
        <v>变更与备案</v>
      </c>
      <c r="C42" s="11" t="s">
        <v>116</v>
      </c>
      <c r="D42" s="11" t="str">
        <v>受益所有人信息</v>
      </c>
      <c r="E42" s="11" t="s">
        <v>117</v>
      </c>
      <c r="F42" s="11" t="str">
        <v>受益所有人未备案</v>
      </c>
      <c r="G42" s="11" t="str">
        <v>法定强制</v>
      </c>
      <c r="H42" s="11" t="str">
        <v>事中</v>
      </c>
      <c r="I42" s="11" t="str">
        <v>人工复核</v>
      </c>
      <c r="J42" s="11" t="str">
        <v>已核</v>
      </c>
      <c r="K42" s="12" t="str">
        <v>A</v>
      </c>
      <c r="L42" s="11" t="s">
        <v>115</v>
      </c>
    </row>
    <row customHeight="true" ht="42" r="43">
      <c r="A43" s="9" t="str">
        <v>R-BG-05</v>
      </c>
      <c r="B43" s="8" t="str">
        <v>变更与备案</v>
      </c>
      <c r="C43" s="10" t="s">
        <v>67</v>
      </c>
      <c r="D43" s="6" t="str">
        <v>投资关系图谱</v>
      </c>
      <c r="E43" s="14" t="s">
        <v>68</v>
      </c>
      <c r="F43" s="6" t="str">
        <v>股权自环</v>
      </c>
      <c r="G43" s="6" t="str">
        <v>法定强制</v>
      </c>
      <c r="H43" s="6" t="str">
        <v>事后回溯</v>
      </c>
      <c r="I43" s="6" t="str">
        <v>人工复核</v>
      </c>
      <c r="J43" s="6" t="str">
        <v>已核</v>
      </c>
      <c r="K43" s="7" t="str">
        <v>A</v>
      </c>
      <c r="L43" s="6" t="s">
        <v>69</v>
      </c>
    </row>
    <row customHeight="true" ht="30" r="44">
      <c r="A44" s="9" t="str">
        <v>R-BG-06</v>
      </c>
      <c r="B44" s="8" t="str">
        <v>变更与备案</v>
      </c>
      <c r="C44" s="6" t="str">
        <v>无直接法条（行为序列）</v>
      </c>
      <c r="D44" s="6" t="s">
        <v>89</v>
      </c>
      <c r="E44" s="10" t="str">
        <v>设立后7日内变更法代 AND 设立后30日内变更全部股东 AND 设立后60日内变更住所</v>
      </c>
      <c r="F44" s="6" t="str">
        <v>壳公司过户嫌疑</v>
      </c>
      <c r="G44" s="6" t="str">
        <v>情报线索</v>
      </c>
      <c r="H44" s="6" t="str">
        <v>事后回溯</v>
      </c>
      <c r="I44" s="6" t="str">
        <v>人工复核</v>
      </c>
      <c r="J44" s="6" t="str">
        <v>已核</v>
      </c>
      <c r="K44" s="7" t="str">
        <v>A</v>
      </c>
      <c r="L44" s="6" t="str">
        <v>★这是已发生的行为序列，不是预测。文档中须写明「监测已发生 ≠ 预测未来」的边界</v>
      </c>
    </row>
    <row customHeight="true" ht="30" r="45">
      <c r="A45" s="13" t="str">
        <v>R-ZX-01</v>
      </c>
      <c r="B45" s="8" t="str">
        <v>退出与注销</v>
      </c>
      <c r="C45" s="11" t="s">
        <v>163</v>
      </c>
      <c r="D45" s="11" t="s">
        <v>166</v>
      </c>
      <c r="E45" s="11" t="s">
        <v>164</v>
      </c>
      <c r="F45" s="11" t="str">
        <v>应注销未注销</v>
      </c>
      <c r="G45" s="11" t="str">
        <v>法定强制</v>
      </c>
      <c r="H45" s="11" t="str">
        <v>事后回溯</v>
      </c>
      <c r="I45" s="11" t="str">
        <v>仅打标</v>
      </c>
      <c r="J45" s="11" t="str">
        <v>已核</v>
      </c>
      <c r="K45" s="12" t="str">
        <v>B</v>
      </c>
      <c r="L45" s="11" t="s">
        <v>165</v>
      </c>
    </row>
    <row customHeight="true" ht="30" r="46">
      <c r="A46" s="13" t="str">
        <v>R-ZX-02</v>
      </c>
      <c r="B46" s="8" t="str">
        <v>退出与注销</v>
      </c>
      <c r="C46" s="11" t="s">
        <v>47</v>
      </c>
      <c r="D46" s="11" t="s">
        <v>48</v>
      </c>
      <c r="E46" s="11" t="s">
        <v>50</v>
      </c>
      <c r="F46" s="11" t="str">
        <v>清算报告缺失</v>
      </c>
      <c r="G46" s="11" t="str">
        <v>法定强制</v>
      </c>
      <c r="H46" s="11" t="str">
        <v>事中</v>
      </c>
      <c r="I46" s="11" t="str">
        <v>人工复核</v>
      </c>
      <c r="J46" s="11" t="str">
        <v>已核</v>
      </c>
      <c r="K46" s="12" t="str">
        <v>B</v>
      </c>
      <c r="L46" s="11" t="s">
        <v>49</v>
      </c>
    </row>
    <row customHeight="true" ht="30" r="47">
      <c r="A47" s="13" t="str">
        <v>R-ZX-03</v>
      </c>
      <c r="B47" s="8" t="str">
        <v>退出与注销</v>
      </c>
      <c r="C47" s="11" t="s">
        <v>135</v>
      </c>
      <c r="D47" s="11" t="s">
        <v>133</v>
      </c>
      <c r="E47" s="11" t="s">
        <v>136</v>
      </c>
      <c r="F47" s="11" t="str">
        <v>简易注销条件不符</v>
      </c>
      <c r="G47" s="11" t="str">
        <v>法定强制</v>
      </c>
      <c r="H47" s="11" t="str">
        <v>事中</v>
      </c>
      <c r="I47" s="11" t="str">
        <v>人工复核</v>
      </c>
      <c r="J47" s="11" t="str">
        <v>已核</v>
      </c>
      <c r="K47" s="12" t="str">
        <v>B</v>
      </c>
      <c r="L47" s="11" t="s">
        <v>134</v>
      </c>
    </row>
    <row customHeight="true" ht="30" r="48">
      <c r="A48" s="13" t="str">
        <v>R-ZX-04</v>
      </c>
      <c r="B48" s="8" t="str">
        <v>退出与注销</v>
      </c>
      <c r="C48" s="11" t="s">
        <v>151</v>
      </c>
      <c r="D48" s="11" t="s">
        <v>150</v>
      </c>
      <c r="E48" s="11" t="s">
        <v>152</v>
      </c>
      <c r="F48" s="11" t="str">
        <v>注销后仍有变更</v>
      </c>
      <c r="G48" s="11" t="str">
        <v>法定强制</v>
      </c>
      <c r="H48" s="11" t="str">
        <v>事后回溯</v>
      </c>
      <c r="I48" s="11" t="str">
        <v>人工复核</v>
      </c>
      <c r="J48" s="11" t="str">
        <v>已核</v>
      </c>
      <c r="K48" s="12" t="str">
        <v>A</v>
      </c>
      <c r="L48" s="11" t="s">
        <v>149</v>
      </c>
    </row>
    <row customHeight="true" ht="44" r="49">
      <c r="A49" s="9" t="str">
        <v>R-XN-01</v>
      </c>
      <c r="B49" s="8" t="str">
        <v>效能与数据质量</v>
      </c>
      <c r="C49" s="6" t="str">
        <v>《市场监管总局办公厅关于提升信息化水平统一规范市场主体登记注册工作的通知》（市监注〔2020〕85号）</v>
      </c>
      <c r="D49" s="6" t="s">
        <v>104</v>
      </c>
      <c r="E49" s="6" t="s">
        <v>103</v>
      </c>
      <c r="F49" s="6" t="str">
        <v>高退回业务</v>
      </c>
      <c r="G49" s="6" t="str">
        <v>规范性</v>
      </c>
      <c r="H49" s="6" t="str">
        <v>事后回溯</v>
      </c>
      <c r="I49" s="6" t="str">
        <v>仅打标</v>
      </c>
      <c r="J49" s="6" t="str">
        <v>已核</v>
      </c>
      <c r="K49" s="7" t="str">
        <v>C</v>
      </c>
      <c r="L49" s="6" t="s">
        <v>105</v>
      </c>
    </row>
    <row customHeight="true" ht="30" r="50">
      <c r="A50" s="9" t="str">
        <v>R-XN-02</v>
      </c>
      <c r="B50" s="8" t="str">
        <v>效能与数据质量</v>
      </c>
      <c r="C50" s="6" t="str">
        <v>同上</v>
      </c>
      <c r="D50" s="6" t="s">
        <v>118</v>
      </c>
      <c r="E50" s="6" t="s">
        <v>120</v>
      </c>
      <c r="F50" s="6" t="str">
        <v>整改超时</v>
      </c>
      <c r="G50" s="6" t="str">
        <v>规范性</v>
      </c>
      <c r="H50" s="6" t="str">
        <v>事后回溯</v>
      </c>
      <c r="I50" s="6" t="str">
        <v>仅打标</v>
      </c>
      <c r="J50" s="6" t="str">
        <v>已核</v>
      </c>
      <c r="K50" s="7" t="str">
        <v>C</v>
      </c>
      <c r="L50" s="6" t="s">
        <v>119</v>
      </c>
    </row>
    <row customHeight="true" ht="30" r="51">
      <c r="A51" s="9" t="str">
        <v>R-XN-03</v>
      </c>
      <c r="B51" s="8" t="str">
        <v>效能与数据质量</v>
      </c>
      <c r="C51" s="6" t="str">
        <v>同上</v>
      </c>
      <c r="D51" s="6" t="s">
        <v>72</v>
      </c>
      <c r="E51" s="10" t="s">
        <v>70</v>
      </c>
      <c r="F51" s="6" t="str">
        <v>规则误报率超标</v>
      </c>
      <c r="G51" s="6" t="str">
        <v>规范性</v>
      </c>
      <c r="H51" s="6" t="str">
        <v>事后回溯</v>
      </c>
      <c r="I51" s="6" t="str">
        <v>仅打标</v>
      </c>
      <c r="J51" s="6" t="str">
        <v>已核</v>
      </c>
      <c r="K51" s="7" t="str">
        <v>A</v>
      </c>
      <c r="L51" s="6" t="s">
        <v>71</v>
      </c>
    </row>
    <row customHeight="true" ht="30" r="52">
      <c r="A52" s="9" t="str">
        <v>R-XN-04</v>
      </c>
      <c r="B52" s="8" t="str">
        <v>效能与数据质量</v>
      </c>
      <c r="C52" s="6" t="str">
        <v>《市场主体登记数据质量建设实施方案》及相关数据质量评价标准</v>
      </c>
      <c r="D52" s="6" t="s">
        <v>90</v>
      </c>
      <c r="E52" s="6" t="str">
        <v>按总局质量评价标准计算的省级得分＜阈值</v>
      </c>
      <c r="F52" s="6" t="str">
        <v>数据质量得分低</v>
      </c>
      <c r="G52" s="6" t="str">
        <v>规范性</v>
      </c>
      <c r="H52" s="6" t="str">
        <v>事后回溯</v>
      </c>
      <c r="I52" s="6" t="str">
        <v>仅打标</v>
      </c>
      <c r="J52" s="6" t="str">
        <v>已核</v>
      </c>
      <c r="K52" s="7" t="str">
        <v>B</v>
      </c>
      <c r="L52" s="6" t="str">
        <v>★★该标准原文是本项目最重要的待获取文件。它定义了总局怎么评价数据质量，直接决定宏观层指标口径</v>
      </c>
    </row>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dataValidations count="5">
    <dataValidation allowBlank="true" errorStyle="stop" showErrorMessage="true" sqref="I3:I52" type="list">
      <formula1>"硬阻断,人工复核,仅打标"</formula1>
    </dataValidation>
    <dataValidation allowBlank="true" errorStyle="stop" showErrorMessage="true" sqref="J3:J52" type="list">
      <formula1>"已核,待核,待填"</formula1>
    </dataValidation>
    <dataValidation allowBlank="true" errorStyle="stop" showErrorMessage="true" sqref="K3:K52" type="list">
      <formula1>"A,B,C"</formula1>
    </dataValidation>
    <dataValidation allowBlank="true" errorStyle="stop" showErrorMessage="true" sqref="H3:H52" type="list">
      <formula1>"事前拦截,事中,事后回溯"</formula1>
    </dataValidation>
    <dataValidation allowBlank="true" errorStyle="stop" showErrorMessage="true" sqref="G3:G52" type="list">
      <formula1>"法定强制,规范性,统计异常,情报线索"</formula1>
    </dataValidation>
  </dataValidations>
  <printOptions gridLinesSet="true"/>
  <pageMargins bottom="1" footer="0.511811023622047" header="0.511811023622047" left="0.75" right="0.75" top="1"/>
  <pageSetup cellComments="none" copies="1" horizontalDpi="300" orientation="portrait" pageOrder="downThenOver" paperSize="9" scale="100" verticalDpi="300"/>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22"/>
    <col collapsed="false" customWidth="true" hidden="false" max="2" min="2" style="0" width="8"/>
    <col collapsed="false" customWidth="true" hidden="false" max="3" min="3" style="0" width="8"/>
    <col collapsed="false" customWidth="true" hidden="false" max="4" min="4" style="0" width="8"/>
    <col collapsed="false" customWidth="true" hidden="false" max="5" min="5" style="0" width="8"/>
    <col collapsed="false" customWidth="true" hidden="false" max="6" min="6" style="0" width="10"/>
    <col collapsed="false" customWidth="true" hidden="false" max="7" min="7" style="0" width="62"/>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8"/>
    <col collapsed="false" customWidth="true" hidden="false" max="13" min="13" style="0" width="8"/>
    <col collapsed="false" customWidth="true" hidden="false" max="14" min="14" style="0" width="8"/>
    <col collapsed="false" customWidth="true" hidden="false" max="15" min="15" style="0" width="8"/>
    <col collapsed="false" customWidth="true" hidden="false" max="16" min="16" style="0" width="8"/>
    <col collapsed="false" customWidth="true" hidden="false" max="17" min="17" style="0" width="8"/>
    <col collapsed="false" customWidth="true" hidden="false" max="18" min="18" style="0" width="8"/>
    <col collapsed="false" customWidth="true" hidden="false" max="19" min="19" style="0" width="8"/>
    <col collapsed="false" customWidth="true" hidden="false" max="20" min="20" style="0" width="8"/>
  </cols>
  <sheetData>
    <row customHeight="true" ht="15" r="1">
      <c r="A1" s="28" t="str">
        <v>分类</v>
      </c>
      <c r="B1" s="28" t="str">
        <v>配额</v>
      </c>
      <c r="C1" s="28" t="str">
        <v>已核</v>
      </c>
      <c r="D1" s="28" t="str">
        <v>待核</v>
      </c>
      <c r="E1" s="28" t="str">
        <v>待填</v>
      </c>
      <c r="F1" s="28" t="str">
        <v>完成率</v>
      </c>
      <c r="G1" s="28" t="str">
        <v>主要法源</v>
      </c>
    </row>
    <row customHeight="true" ht="30" r="2">
      <c r="A2" s="23" t="str">
        <v>实名与身份</v>
      </c>
      <c r="B2" s="20">
        <v>8</v>
      </c>
      <c r="C2" s="20">
        <f>COUNTIFS(规则表!$B$3:$B$52,$A2,规则表!$J$3:$J$52,"已核")</f>
      </c>
      <c r="D2" s="20">
        <f>COUNTIFS(规则表!$B$3:$B$52,$A2,规则表!$J$3:$J$52,"待核")</f>
      </c>
      <c r="E2" s="20">
        <f>COUNTIFS(规则表!$B$3:$B$52,$A2,规则表!$J$3:$J$52,"待填")</f>
      </c>
      <c r="F2" s="21">
        <f>IFERROR(C2/B2,0)</f>
      </c>
      <c r="G2" s="22" t="s">
        <v>167</v>
      </c>
    </row>
    <row customHeight="true" ht="15" r="3">
      <c r="A3" s="23" t="str">
        <v>出资与注册资本</v>
      </c>
      <c r="B3" s="20">
        <v>8</v>
      </c>
      <c r="C3" s="20">
        <f>COUNTIFS(规则表!$B$3:$B$52,$A3,规则表!$J$3:$J$52,"已核")</f>
      </c>
      <c r="D3" s="20">
        <f>COUNTIFS(规则表!$B$3:$B$52,$A3,规则表!$J$3:$J$52,"待核")</f>
      </c>
      <c r="E3" s="20">
        <f>COUNTIFS(规则表!$B$3:$B$52,$A3,规则表!$J$3:$J$52,"待填")</f>
      </c>
      <c r="F3" s="21">
        <f>IFERROR(C3/B3,0)</f>
      </c>
      <c r="G3" s="22" t="s">
        <v>169</v>
      </c>
    </row>
    <row customHeight="true" ht="30" r="4">
      <c r="A4" s="23" t="str">
        <v>名称</v>
      </c>
      <c r="B4" s="20">
        <v>7</v>
      </c>
      <c r="C4" s="20">
        <f>COUNTIFS(规则表!$B$3:$B$52,$A4,规则表!$J$3:$J$52,"已核")</f>
      </c>
      <c r="D4" s="20">
        <f>COUNTIFS(规则表!$B$3:$B$52,$A4,规则表!$J$3:$J$52,"待核")</f>
      </c>
      <c r="E4" s="20">
        <f>COUNTIFS(规则表!$B$3:$B$52,$A4,规则表!$J$3:$J$52,"待填")</f>
      </c>
      <c r="F4" s="21">
        <f>IFERROR(C4/B4,0)</f>
      </c>
      <c r="G4" s="22" t="s">
        <v>171</v>
      </c>
    </row>
    <row customHeight="true" ht="27" r="5">
      <c r="A5" s="23" t="str">
        <v>经营范围与许可</v>
      </c>
      <c r="B5" s="20">
        <v>8</v>
      </c>
      <c r="C5" s="20">
        <f>COUNTIFS(规则表!$B$3:$B$52,$A5,规则表!$J$3:$J$52,"已核")</f>
      </c>
      <c r="D5" s="20">
        <f>COUNTIFS(规则表!$B$3:$B$52,$A5,规则表!$J$3:$J$52,"待核")</f>
      </c>
      <c r="E5" s="20">
        <f>COUNTIFS(规则表!$B$3:$B$52,$A5,规则表!$J$3:$J$52,"待填")</f>
      </c>
      <c r="F5" s="21">
        <f>IFERROR(C5/B5,0)</f>
      </c>
      <c r="G5" s="22" t="s">
        <v>173</v>
      </c>
    </row>
    <row customHeight="true" ht="15" r="6">
      <c r="A6" s="23" t="str">
        <v>住所</v>
      </c>
      <c r="B6" s="20">
        <v>5</v>
      </c>
      <c r="C6" s="20">
        <f>COUNTIFS(规则表!$B$3:$B$52,$A6,规则表!$J$3:$J$52,"已核")</f>
      </c>
      <c r="D6" s="20">
        <f>COUNTIFS(规则表!$B$3:$B$52,$A6,规则表!$J$3:$J$52,"待核")</f>
      </c>
      <c r="E6" s="20">
        <f>COUNTIFS(规则表!$B$3:$B$52,$A6,规则表!$J$3:$J$52,"待填")</f>
      </c>
      <c r="F6" s="21">
        <f>IFERROR(C6/B6,0)</f>
      </c>
      <c r="G6" s="22" t="s">
        <v>168</v>
      </c>
    </row>
    <row customHeight="true" ht="15" r="7">
      <c r="A7" s="23" t="str">
        <v>变更与备案</v>
      </c>
      <c r="B7" s="20">
        <v>6</v>
      </c>
      <c r="C7" s="20">
        <f>COUNTIFS(规则表!$B$3:$B$52,$A7,规则表!$J$3:$J$52,"已核")</f>
      </c>
      <c r="D7" s="20">
        <f>COUNTIFS(规则表!$B$3:$B$52,$A7,规则表!$J$3:$J$52,"待核")</f>
      </c>
      <c r="E7" s="20">
        <f>COUNTIFS(规则表!$B$3:$B$52,$A7,规则表!$J$3:$J$52,"待填")</f>
      </c>
      <c r="F7" s="21">
        <f>IFERROR(C7/B7,0)</f>
      </c>
      <c r="G7" s="22" t="s">
        <v>170</v>
      </c>
    </row>
    <row customHeight="true" ht="15" r="8">
      <c r="A8" s="23" t="str">
        <v>退出与注销</v>
      </c>
      <c r="B8" s="20">
        <v>4</v>
      </c>
      <c r="C8" s="20">
        <f>COUNTIFS(规则表!$B$3:$B$52,$A8,规则表!$J$3:$J$52,"已核")</f>
      </c>
      <c r="D8" s="20">
        <f>COUNTIFS(规则表!$B$3:$B$52,$A8,规则表!$J$3:$J$52,"待核")</f>
      </c>
      <c r="E8" s="20">
        <f>COUNTIFS(规则表!$B$3:$B$52,$A8,规则表!$J$3:$J$52,"待填")</f>
      </c>
      <c r="F8" s="21">
        <f>IFERROR(C8/B8,0)</f>
      </c>
      <c r="G8" s="22" t="s">
        <v>172</v>
      </c>
    </row>
    <row customHeight="true" ht="30" r="9">
      <c r="A9" s="23" t="str">
        <v>效能与数据质量</v>
      </c>
      <c r="B9" s="20">
        <v>4</v>
      </c>
      <c r="C9" s="20">
        <f>COUNTIFS(规则表!$B$3:$B$52,$A9,规则表!$J$3:$J$52,"已核")</f>
      </c>
      <c r="D9" s="20">
        <f>COUNTIFS(规则表!$B$3:$B$52,$A9,规则表!$J$3:$J$52,"待核")</f>
      </c>
      <c r="E9" s="20">
        <f>COUNTIFS(规则表!$B$3:$B$52,$A9,规则表!$J$3:$J$52,"待填")</f>
      </c>
      <c r="F9" s="21">
        <f>IFERROR(C9/B9,0)</f>
      </c>
      <c r="G9" s="22" t="str">
        <v>《提升信息化水平统一规范市场主体登记注册工作的通知》、《市场主体登记数据质量建设实施方案》</v>
      </c>
    </row>
    <row customHeight="true" ht="15" r="10">
      <c r="A10" s="25" t="str">
        <v>合计</v>
      </c>
      <c r="B10" s="25">
        <f>SUM(B2:B9)</f>
      </c>
      <c r="C10" s="25">
        <f>SUM(C2:C9)</f>
      </c>
      <c r="D10" s="25">
        <f>SUM(D2:D9)</f>
      </c>
      <c r="E10" s="25">
        <f>SUM(E2:E9)</f>
      </c>
      <c r="F10" s="26">
        <f>IFERROR(C10/B10,0)</f>
      </c>
      <c r="G10" s="27"/>
    </row>
    <row customHeight="true" ht="15" r="11"/>
    <row customHeight="true" ht="17" r="12">
      <c r="A12" s="3" t="s">
        <v>174</v>
      </c>
    </row>
    <row customHeight="true" ht="15" r="13">
      <c r="A13" s="1" t="str">
        <v>无法条却标法定强制的行数：</v>
      </c>
      <c r="B13" s="24">
        <f>COUNTIFS(规则表!$C$3:$C$52,"",规则表!$G$3:$G$52,"法定强制")+COUNTIFS(规则表!$C$3:$C$52,"无*",规则表!$G$3:$G$52,"法定强制")</f>
      </c>
    </row>
    <row customHeight="true" ht="15" r="14">
      <c r="A14" s="1" t="str">
        <v>硬阻断却非法定强制的行数：</v>
      </c>
      <c r="B14" s="24">
        <f>COUNTIFS(规则表!$I$3:$I$52,"硬阻断")-COUNTIFS(规则表!$I$3:$I$52,"硬阻断",规则表!$G$3:$G$52,"法定强制")</f>
      </c>
    </row>
    <row customHeight="true" ht="15" r="15"/>
    <row customHeight="true" ht="15" r="16">
      <c r="A16" s="1" t="s">
        <v>175</v>
      </c>
    </row>
    <row customHeight="true" ht="15" r="17">
      <c r="A17" s="2"/>
    </row>
    <row customHeight="true" ht="15" r="18">
      <c r="A18" s="3" t="str">
        <v>■ 配额说明</v>
      </c>
    </row>
    <row customHeight="true" ht="15" r="19">
      <c r="A19" s="1" t="str">
        <v>配额按第一梯队法规的结构分配，不是拍脑袋。若某类实际写出的规则超过配额，不必强行删除 ——</v>
      </c>
    </row>
    <row customHeight="true" ht="15" r="20">
      <c r="A20" s="1" t="str">
        <v>配额是下限提示，用于防止漏掉整个类别（最常见的漏项是「效能与数据质量」，因为所有人都只想着给企业打标签）。</v>
      </c>
    </row>
    <row customHeight="true" ht="15" r="21"/>
    <row customHeight="true" ht="15" r="22"/>
    <row customHeight="true" ht="15" r="23"/>
    <row customHeight="true" ht="15" r="24"/>
    <row customHeight="true" ht="15" r="25"/>
    <row customHeight="true" ht="15" r="26"/>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printOptions gridLinesSet="true"/>
  <pageMargins bottom="1" footer="0.511811023622047" header="0.511811023622047" left="0.75" right="0.75" top="1"/>
  <pageSetup cellComments="none" copies="1" horizontalDpi="300" orientation="portrait" pageOrder="downThenOver" paperSize="9" scale="100" verticalDpi="300"/>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2" defaultRowHeight="18"/>
  <cols>
    <col collapsed="false" customWidth="true" hidden="false" max="1" min="1" style="0" width="46"/>
    <col collapsed="false" customWidth="true" hidden="false" max="2" min="2" style="0" width="62"/>
    <col collapsed="false" customWidth="true" hidden="false" max="3" min="3" style="0" width="52"/>
    <col collapsed="false" customWidth="true" hidden="false" max="4" min="4" style="0" width="8"/>
    <col collapsed="false" customWidth="true" hidden="false" max="5" min="5" style="0" width="8"/>
    <col collapsed="false" customWidth="true" hidden="false" max="6" min="6" style="0" width="8"/>
    <col collapsed="false" customWidth="true" hidden="false" max="7" min="7" style="0" width="8"/>
    <col collapsed="false" customWidth="true" hidden="false" max="8" min="8" style="0" width="8"/>
    <col collapsed="false" customWidth="true" hidden="false" max="9" min="9" style="0" width="8"/>
    <col collapsed="false" customWidth="true" hidden="false" max="10" min="10" style="0" width="8"/>
    <col collapsed="false" customWidth="true" hidden="false" max="11" min="11" style="0" width="8"/>
    <col collapsed="false" customWidth="true" hidden="false" max="12" min="12" style="0" width="8"/>
    <col collapsed="false" customWidth="true" hidden="false" max="13" min="13" style="0" width="8"/>
    <col collapsed="false" customWidth="true" hidden="false" max="14" min="14" style="0" width="8"/>
    <col collapsed="false" customWidth="true" hidden="false" max="15" min="15" style="0" width="8"/>
    <col collapsed="false" customWidth="true" hidden="false" max="16" min="16" style="0" width="8"/>
    <col collapsed="false" customWidth="true" hidden="false" max="17" min="17" style="0" width="8"/>
    <col collapsed="false" customWidth="true" hidden="false" max="18" min="18" style="0" width="8"/>
    <col collapsed="false" customWidth="true" hidden="false" max="19" min="19" style="0" width="8"/>
    <col collapsed="false" customWidth="true" hidden="false" max="20" min="20" style="0" width="8"/>
  </cols>
  <sheetData>
    <row customHeight="true" ht="15" r="1">
      <c r="A1" s="31" t="s">
        <v>182</v>
      </c>
      <c r="B1" s="31" t="str">
        <v>链接</v>
      </c>
      <c r="C1" s="31" t="str">
        <v>备注</v>
      </c>
    </row>
    <row customHeight="true" ht="30" r="2">
      <c r="A2" s="22" t="str">
        <v>《市场主体登记管理条例》</v>
      </c>
      <c r="B2" s="20" t="str">
        <v>https://flk.npc.gov.cn/detail2.html?ZmY4MDgxODE3YjYzYjY3OTAxN2I3YjIwODU5NTM2MDc</v>
      </c>
      <c r="C2" s="22" t="s">
        <v>178</v>
      </c>
    </row>
    <row customHeight="true" ht="15" r="3">
      <c r="A3" s="22" t="str">
        <v>《市场主体登记管理条例实施细则》</v>
      </c>
      <c r="B3" s="20" t="str">
        <v>https://www.gov.cn/gongbao/content/2022/content_5688790.htm</v>
      </c>
      <c r="C3" s="22" t="s">
        <v>191</v>
      </c>
    </row>
    <row customHeight="true" ht="30" r="4">
      <c r="A4" s="22" t="str">
        <v>《中华人民共和国公司法》</v>
      </c>
      <c r="B4" s="20" t="str">
        <v>http://www.npc.gov.cn/c2/c30834/202312/t20231229_433999.html</v>
      </c>
      <c r="C4" s="22" t="s">
        <v>185</v>
      </c>
    </row>
    <row customHeight="true" ht="15" r="5">
      <c r="A5" s="22" t="str">
        <v>《企业名称登记管理规定》</v>
      </c>
      <c r="B5" s="20" t="str">
        <v>https://www.gov.cn/gongbao/content/2021/content_5582625.htm</v>
      </c>
      <c r="C5" s="22" t="str">
        <v>名称禁限用条款待核</v>
      </c>
    </row>
    <row customHeight="true" ht="24" r="6">
      <c r="A6" s="22" t="str">
        <v>《企业名称登记管理规定实施办法》</v>
      </c>
      <c r="B6" s="20" t="str">
        <v>https://www.gov.cn/gongbao/2023/issue_10806/202311/content_6913825.html</v>
      </c>
      <c r="C6" s="22" t="str">
        <v>名称近似判断待核</v>
      </c>
    </row>
    <row customHeight="true" ht="30" r="7">
      <c r="A7" s="22" t="s">
        <v>123</v>
      </c>
      <c r="B7" s="20" t="str">
        <v>https://www.gov.cn/gongbao/content/2014/content_2620280.htm</v>
      </c>
      <c r="C7" s="22" t="str">
        <v>实缴制行业名录</v>
      </c>
    </row>
    <row customHeight="true" ht="15" r="8">
      <c r="A8" s="22" t="str">
        <v>《受益所有人信息管理办法》</v>
      </c>
      <c r="B8" s="20" t="str">
        <v>http://www.pbc.gov.cn/tiaofasi/144941/144957/5342579/index.html</v>
      </c>
      <c r="C8" s="22" t="s">
        <v>186</v>
      </c>
    </row>
    <row customHeight="true" ht="15" r="9">
      <c r="A9" s="22" t="str">
        <v>《企业信息公示暂行条例》</v>
      </c>
      <c r="B9" s="20" t="str">
        <v>https://www.gov.cn/gongbao/content/2014/content_2745920.htm</v>
      </c>
      <c r="C9" s="22" t="s">
        <v>183</v>
      </c>
    </row>
    <row customHeight="true" ht="24" r="10">
      <c r="A10" s="22" t="s">
        <v>179</v>
      </c>
      <c r="B10" s="20" t="str">
        <v>https://www.samr.gov.cn/zw/zfxxgk/fdzdgknr/djzcj/art/2023/art_1cda5f346be248e799a3454a93821aa3.html</v>
      </c>
      <c r="C10" s="22" t="s">
        <v>180</v>
      </c>
    </row>
    <row customHeight="true" ht="30" r="11">
      <c r="A11" s="22" t="s">
        <v>193</v>
      </c>
      <c r="B11" s="20" t="str">
        <v>https://www.samr.gov.cn/zw/zfxxgk/fdzdgknr/djzcj/art/2026/art_3321d681741f48cfa3a8e6ef4b15cccd.html</v>
      </c>
      <c r="C11" s="20" t="s">
        <v>192</v>
      </c>
    </row>
    <row customHeight="true" ht="24" r="12">
      <c r="A12" s="22" t="str">
        <v>《关于推进企业信用风险分类管理的意见》</v>
      </c>
      <c r="B12" s="20" t="str">
        <v>https://www.samr.gov.cn/xyjgs/gzdt/art/2023/art_470789abe07f43b9bc249070c2f424ce.html</v>
      </c>
      <c r="C12" s="20" t="s">
        <v>187</v>
      </c>
    </row>
    <row customHeight="true" ht="24" r="13">
      <c r="A13" s="22" t="str">
        <v>《关于加强重点领域信用监管的实施意见》</v>
      </c>
      <c r="B13" s="20" t="str">
        <v>https://www.samr.gov.cn/xyjgs/flfg/art/2023/art_034b90b615b144409cf146834ce4ff82.html</v>
      </c>
      <c r="C13" s="22" t="str">
        <v>重点领域企业类型清单 → 中观层范围</v>
      </c>
    </row>
    <row customHeight="true" ht="24" r="14">
      <c r="A14" s="22" t="s">
        <v>181</v>
      </c>
      <c r="B14" s="20" t="str">
        <v>https://www.samr.gov.cn/cms_files/filemanager/samr/www/samrnew/tzsbj/zcfg/aqjsgf/202006/P020200622398895294868.pdf</v>
      </c>
      <c r="C14" s="22" t="str">
        <v>微观专题一</v>
      </c>
    </row>
    <row customHeight="true" ht="15" r="15">
      <c r="A15" s="22" t="str">
        <v>市场监管法律法规规章数据库</v>
      </c>
      <c r="B15" s="20" t="str">
        <v>https://sjfg.samr.gov.cn/law/pageInfo/main.main</v>
      </c>
      <c r="C15" s="22" t="str">
        <v>★找不到原文时优先来这里，不要用地方转发的解读当法源</v>
      </c>
    </row>
    <row customHeight="true" ht="15" r="16">
      <c r="A16" s="22" t="str">
        <v>全国经营主体登记注册服务网</v>
      </c>
      <c r="B16" s="20" t="str">
        <v>https://dj.samr.gov.cn</v>
      </c>
      <c r="C16" s="22" t="s">
        <v>188</v>
      </c>
    </row>
    <row customHeight="true" ht="15" r="17">
      <c r="A17" s="22" t="str">
        <v>政策专栏（问答语料源）</v>
      </c>
      <c r="B17" s="20" t="str">
        <v>https://dj.samr.gov.cn/djfww/zczl/index.html</v>
      </c>
      <c r="C17" s="22" t="s">
        <v>184</v>
      </c>
    </row>
    <row customHeight="true" ht="15" r="18">
      <c r="A18" s="22" t="str">
        <v>国家企业信用信息公示系统</v>
      </c>
      <c r="B18" s="20" t="str">
        <v>https://www.gsxt.gov.cn/index.html</v>
      </c>
      <c r="C18" s="22" t="str">
        <v>真实数据采集源</v>
      </c>
    </row>
    <row customHeight="true" ht="15" r="19"/>
    <row customHeight="true" ht="15" r="20"/>
    <row customHeight="true" ht="15" r="21">
      <c r="A21" s="32" t="str">
        <v>■ 尚未获取到官方原文，须优先补齐（按重要性）</v>
      </c>
    </row>
    <row customHeight="true" ht="30" r="22">
      <c r="A22" s="30" t="str">
        <v>《市场主体登记数据质量建设实施方案》及数据质量评价标准</v>
      </c>
      <c r="B22" s="30" t="str">
        <v>★★★ 最重要。它定义总局怎么评价数据质量，直接决定宏观层全部指标口径</v>
      </c>
    </row>
    <row customHeight="true" ht="15" r="23">
      <c r="A23" s="30" t="s">
        <v>194</v>
      </c>
      <c r="B23" s="30" t="str">
        <v>★★★ 代理人核验的法源。目前只找到各地转发的解读，须找原文</v>
      </c>
    </row>
    <row customHeight="true" ht="15" r="24">
      <c r="A24" s="30" t="s">
        <v>189</v>
      </c>
      <c r="B24" s="29" t="s">
        <v>190</v>
      </c>
    </row>
    <row customHeight="true" ht="15" r="25">
      <c r="A25" s="30" t="str">
        <v>《市场主体准入退出数据规范》</v>
      </c>
      <c r="B25" s="30" t="str">
        <v>★★ 字段口径的标准</v>
      </c>
    </row>
    <row customHeight="true" ht="15" r="26">
      <c r="A26" s="29" t="s">
        <v>176</v>
      </c>
      <c r="B26" s="29" t="s">
        <v>177</v>
      </c>
    </row>
    <row customHeight="true" ht="15" r="27"/>
    <row customHeight="true" ht="15" r="28"/>
    <row customHeight="true" ht="15" r="29"/>
    <row customHeight="true" ht="15" r="30"/>
    <row customHeight="true" ht="15" r="31"/>
    <row customHeight="true" ht="15" r="32"/>
    <row customHeight="true" ht="15" r="33"/>
    <row customHeight="true" ht="15" r="34"/>
    <row customHeight="true" ht="15" r="35"/>
    <row customHeight="true" ht="15" r="36"/>
    <row customHeight="true" ht="15" r="37"/>
    <row customHeight="true" ht="15" r="38"/>
    <row customHeight="true" ht="15" r="39"/>
    <row customHeight="true" ht="15" r="40"/>
    <row customHeight="true" ht="15" r="41"/>
    <row customHeight="true" ht="15" r="42"/>
    <row customHeight="true" ht="15" r="43"/>
    <row customHeight="true" ht="15" r="44"/>
    <row customHeight="true" ht="15" r="45"/>
    <row customHeight="true" ht="15" r="46"/>
    <row customHeight="true" ht="15" r="47"/>
    <row customHeight="true" ht="15" r="48"/>
    <row customHeight="true" ht="15" r="49"/>
    <row customHeight="true" ht="15" r="50"/>
    <row customHeight="true" ht="15" r="51"/>
    <row customHeight="true" ht="15" r="52"/>
    <row customHeight="true" ht="15" r="53"/>
    <row customHeight="true" ht="15" r="54"/>
    <row customHeight="true" ht="15" r="55"/>
    <row customHeight="true" ht="15" r="56"/>
    <row customHeight="true" ht="15" r="57"/>
    <row customHeight="true" ht="15" r="58"/>
    <row customHeight="true" ht="15" r="59"/>
    <row customHeight="true" ht="15" r="60"/>
    <row customHeight="true" ht="15" r="61"/>
    <row customHeight="true" ht="15" r="62"/>
    <row customHeight="true" ht="15" r="63"/>
    <row customHeight="true" ht="15" r="64"/>
    <row customHeight="true" ht="15" r="65"/>
    <row customHeight="true" ht="15" r="66"/>
    <row customHeight="true" ht="15" r="67"/>
    <row customHeight="true" ht="15" r="68"/>
    <row customHeight="true" ht="15" r="69"/>
    <row customHeight="true" ht="15" r="70"/>
    <row customHeight="true" ht="15" r="71"/>
    <row customHeight="true" ht="15" r="72"/>
    <row customHeight="true" ht="15" r="73"/>
    <row customHeight="true" ht="15" r="74"/>
    <row customHeight="true" ht="15" r="75"/>
    <row customHeight="true" ht="15" r="76"/>
    <row customHeight="true" ht="15" r="77"/>
    <row customHeight="true" ht="15" r="78"/>
    <row customHeight="true" ht="15" r="79"/>
    <row customHeight="true" ht="15" r="80"/>
    <row customHeight="true" ht="15" r="81"/>
    <row customHeight="true" ht="15" r="82"/>
    <row customHeight="true" ht="15" r="83"/>
    <row customHeight="true" ht="15" r="84"/>
    <row customHeight="true" ht="15" r="85"/>
    <row customHeight="true" ht="15" r="86"/>
    <row customHeight="true" ht="15" r="87"/>
    <row customHeight="true" ht="15" r="88"/>
    <row customHeight="true" ht="15" r="89"/>
    <row customHeight="true" ht="15" r="90"/>
    <row customHeight="true" ht="15" r="91"/>
    <row customHeight="true" ht="15" r="92"/>
    <row customHeight="true" ht="15" r="93"/>
    <row customHeight="true" ht="15" r="94"/>
    <row customHeight="true" ht="15" r="95"/>
    <row customHeight="true" ht="15" r="96"/>
    <row customHeight="true" ht="15" r="97"/>
    <row customHeight="true" ht="15" r="98"/>
    <row customHeight="true" ht="15" r="99"/>
    <row customHeight="true" ht="15" r="100"/>
    <row customHeight="true" ht="15" r="101"/>
    <row customHeight="true" ht="15" r="102"/>
    <row customHeight="true" ht="15" r="103"/>
    <row customHeight="true" ht="15" r="104"/>
    <row customHeight="true" ht="15" r="105"/>
    <row customHeight="true" ht="15" r="106"/>
    <row customHeight="true" ht="15" r="107"/>
    <row customHeight="true" ht="15" r="108"/>
    <row customHeight="true" ht="15" r="109"/>
    <row customHeight="true" ht="15" r="110"/>
    <row customHeight="true" ht="15" r="111"/>
    <row customHeight="true" ht="15" r="112"/>
    <row customHeight="true" ht="15" r="113"/>
    <row customHeight="true" ht="15" r="114"/>
    <row customHeight="true" ht="15" r="115"/>
    <row customHeight="true" ht="15" r="116"/>
    <row customHeight="true" ht="15" r="117"/>
    <row customHeight="true" ht="15" r="118"/>
    <row customHeight="true" ht="15" r="119"/>
    <row customHeight="true" ht="15" r="120"/>
    <row customHeight="true" ht="15" r="121"/>
    <row customHeight="true" ht="15" r="122"/>
    <row customHeight="true" ht="15" r="123"/>
    <row customHeight="true" ht="15" r="124"/>
    <row customHeight="true" ht="15" r="125"/>
    <row customHeight="true" ht="15" r="126"/>
    <row customHeight="true" ht="15" r="127"/>
    <row customHeight="true" ht="15" r="128"/>
    <row customHeight="true" ht="15" r="129"/>
    <row customHeight="true" ht="15" r="130"/>
    <row customHeight="true" ht="15" r="131"/>
    <row customHeight="true" ht="15" r="132"/>
    <row customHeight="true" ht="15" r="133"/>
    <row customHeight="true" ht="15" r="134"/>
    <row customHeight="true" ht="15" r="135"/>
    <row customHeight="true" ht="15" r="136"/>
    <row customHeight="true" ht="15" r="137"/>
    <row customHeight="true" ht="15" r="138"/>
    <row customHeight="true" ht="15" r="139"/>
    <row customHeight="true" ht="15" r="140"/>
    <row customHeight="true" ht="15" r="141"/>
    <row customHeight="true" ht="15" r="142"/>
    <row customHeight="true" ht="15" r="143"/>
    <row customHeight="true" ht="15" r="144"/>
    <row customHeight="true" ht="15" r="145"/>
    <row customHeight="true" ht="15" r="146"/>
    <row customHeight="true" ht="15" r="147"/>
    <row customHeight="true" ht="15" r="148"/>
    <row customHeight="true" ht="15" r="149"/>
    <row customHeight="true" ht="15" r="150"/>
    <row customHeight="true" ht="15" r="151"/>
    <row customHeight="true" ht="15" r="152"/>
    <row customHeight="true" ht="15" r="153"/>
    <row customHeight="true" ht="15" r="154"/>
    <row customHeight="true" ht="15" r="155"/>
    <row customHeight="true" ht="15" r="156"/>
    <row customHeight="true" ht="15" r="157"/>
    <row customHeight="true" ht="15" r="158"/>
    <row customHeight="true" ht="15" r="159"/>
    <row customHeight="true" ht="15" r="160"/>
    <row customHeight="true" ht="15" r="161"/>
    <row customHeight="true" ht="15" r="162"/>
    <row customHeight="true" ht="15" r="163"/>
    <row customHeight="true" ht="15" r="164"/>
    <row customHeight="true" ht="15" r="165"/>
    <row customHeight="true" ht="15" r="166"/>
    <row customHeight="true" ht="15" r="167"/>
    <row customHeight="true" ht="15" r="168"/>
    <row customHeight="true" ht="15" r="169"/>
    <row customHeight="true" ht="15" r="170"/>
    <row customHeight="true" ht="15" r="171"/>
    <row customHeight="true" ht="15" r="172"/>
    <row customHeight="true" ht="15" r="173"/>
    <row customHeight="true" ht="15" r="174"/>
    <row customHeight="true" ht="15" r="175"/>
    <row customHeight="true" ht="15" r="176"/>
    <row customHeight="true" ht="15" r="177"/>
    <row customHeight="true" ht="15" r="178"/>
    <row customHeight="true" ht="15" r="179"/>
    <row customHeight="true" ht="15" r="180"/>
    <row customHeight="true" ht="15" r="181"/>
    <row customHeight="true" ht="15" r="182"/>
    <row customHeight="true" ht="15" r="183"/>
    <row customHeight="true" ht="15" r="184"/>
    <row customHeight="true" ht="15" r="185"/>
    <row customHeight="true" ht="15" r="186"/>
    <row customHeight="true" ht="15" r="187"/>
    <row customHeight="true" ht="15" r="188"/>
    <row customHeight="true" ht="15" r="189"/>
    <row customHeight="true" ht="15" r="190"/>
    <row customHeight="true" ht="15" r="191"/>
    <row customHeight="true" ht="15" r="192"/>
    <row customHeight="true" ht="15" r="193"/>
    <row customHeight="true" ht="15" r="194"/>
    <row customHeight="true" ht="15" r="195"/>
    <row customHeight="true" ht="15" r="196"/>
    <row customHeight="true" ht="15" r="197"/>
    <row customHeight="true" ht="15" r="198"/>
    <row customHeight="true" ht="15" r="199"/>
    <row customHeight="true" ht="15" r="200"/>
  </sheetData>
  <printOptions gridLinesSet="true"/>
  <pageMargins bottom="1" footer="0.511811023622047" header="0.511811023622047" left="0.75" right="0.75" top="1"/>
  <pageSetup cellComments="none" copies="1" horizontalDpi="300" orientation="portrait" pageOrder="downThenOver" paperSize="9" scale="100" verticalDpi="300"/>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